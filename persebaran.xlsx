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x_data" sheetId="1" r:id="rId5"/>
    <sheet state="visible" name="Sheet2" sheetId="2" r:id="rId6"/>
    <sheet state="visible" name="clean_data" sheetId="3" r:id="rId7"/>
  </sheets>
  <definedNames/>
  <calcPr/>
</workbook>
</file>

<file path=xl/sharedStrings.xml><?xml version="1.0" encoding="utf-8"?>
<sst xmlns="http://schemas.openxmlformats.org/spreadsheetml/2006/main" count="8493" uniqueCount="2383">
  <si>
    <t>No.</t>
  </si>
  <si>
    <t>Provinsi</t>
  </si>
  <si>
    <t>Jumlah PRP</t>
  </si>
  <si>
    <t>Jumlah ZRA</t>
  </si>
  <si>
    <t>Total SRP</t>
  </si>
  <si>
    <t>Jumlah Inspeksi per 4 tahun</t>
  </si>
  <si>
    <t>Jumlah Temuan Kategori I</t>
  </si>
  <si>
    <t>Jumlah Temuan Kategori II</t>
  </si>
  <si>
    <t>Jumlah Temuan Kategori III</t>
  </si>
  <si>
    <t>Aceh</t>
  </si>
  <si>
    <t>Semua</t>
  </si>
  <si>
    <t>Sumatera Utara</t>
  </si>
  <si>
    <t>Sumatera Barat</t>
  </si>
  <si>
    <t>Riau</t>
  </si>
  <si>
    <t>Kepulauan Riau</t>
  </si>
  <si>
    <t>Jambi</t>
  </si>
  <si>
    <t>Sumatera Selatan</t>
  </si>
  <si>
    <t>Bengkulu</t>
  </si>
  <si>
    <t>No</t>
  </si>
  <si>
    <t>Nama Instansi /Fasilitas</t>
  </si>
  <si>
    <t>Alamat</t>
  </si>
  <si>
    <t>Lokasi Pemanfaatan</t>
  </si>
  <si>
    <t>Nomor LHI</t>
  </si>
  <si>
    <t>Kelompok Kegiatan</t>
  </si>
  <si>
    <t>Tanggal Inspeksi</t>
  </si>
  <si>
    <t>Kategori Temuan</t>
  </si>
  <si>
    <t>Status Bundling/ Temuan</t>
  </si>
  <si>
    <t>Lampung</t>
  </si>
  <si>
    <t>Kode Temuan</t>
  </si>
  <si>
    <t>IKK</t>
  </si>
  <si>
    <t>Temuan dan Rekomendasi</t>
  </si>
  <si>
    <t>Uraian Temuan</t>
  </si>
  <si>
    <t>Uraian Rekomendasi</t>
  </si>
  <si>
    <t>Tgl Batas Tindak Lanjut</t>
  </si>
  <si>
    <t>Uraian Tindak Lanjut</t>
  </si>
  <si>
    <t>Tgl Tindak Lanjut</t>
  </si>
  <si>
    <t>Bhayangkara Tk.III Manado</t>
  </si>
  <si>
    <t>Jl. Sam Ratulangi No. 326</t>
  </si>
  <si>
    <t>Jl. Sam Ratulangi No. 326,Manado,Sulawesi Utara</t>
  </si>
  <si>
    <t>00053.01.12082.01.1.0426</t>
  </si>
  <si>
    <t>Radiologi Diagnostik &amp; Intervensional</t>
  </si>
  <si>
    <t>2026-04-20 s/d 2026-04-24</t>
  </si>
  <si>
    <t>terbuka</t>
  </si>
  <si>
    <t>01.01.01</t>
  </si>
  <si>
    <t>Kepulauan Bangka Belitung</t>
  </si>
  <si>
    <t>Tidak memiliki izin</t>
  </si>
  <si>
    <t>Rumah Sakit Bhayangkara Tk. III Manado memiliki lima (5) Pembangkit Radiasi Pengion (PRP) tanpa izin yaitu :
 a. 1 (satu) unit pesawat Radiografi Mobile (Shimadzu (PRP) Tipe Unit: , No. Seri Unit: Kond. Maks.: 133 -- , Tipe Tabung : 0713U163C, No. Seri Tabung : 80574 tanpa izin dalam kondisi baik. 
 b. 2 (dua) unit PRP tanpa izin dalam kondisi rusak dan akan digunakan :
 1. 1 (satu) unit pesawat Radiografi Mobile (Angeli; (Siemens; Tipe Unit: SDR1503050, No. Seri Unit: 612342011, Kond. Maks.: 150 kV kV-400 mA, Tipe Tabung : SDR1503050, No. Seri Tabung : 612342011 SDR1503050 
 2. 1 (satu) unit pesawat CT-Scan Lighting Aquilion Toshiba; Tipe Unit: CSR9344171, No. Seri Unit: 7J118, dengan merek tabung: Toshiba; Tipe Tabung : CSR9344171, No. Seri Tabung : 7J118 CSR9344171 7J118 
 c. 2 (dua) unit PRP tanpa izin dalam kondisi rusak dan tidak akan digunakan (sesuai dengan Surat Pernyataan No. B/192/04/2026/RS. Bhay tanggal 20 April 2026)
 1. 1 (satu) unit Pesawat Radiografi Mobile (Merek: Varian; Tipe Unit: RAD74, No. Seri Unit: 973634P, Kond. Maks.: 125 kV dengan tabung Merek: Varian Tipe Tabung: RAD74, No. Seri Tabung : 973634P RAD74 973634P)
 2. 1 (satu) unit Pesawat Gigi Intra oral Merek: Asahi; Tipe Unit: D-081, No. Seri Unit: 7020608, Kond. Maks.: - -- , Merek Tabung: Toshiba; Tipe Tabung : D-081, No. Seri Tabung : 7020608)</t>
  </si>
  <si>
    <t>-Rumah Sakit Bhayangkara Tk.III Manado dilarang menggunakan Pesawat Sinar-X Radiologi Diagnostik tanpa izin. &lt;br /&gt;
 &lt;br /&gt;
 a) 1 (satu) unit pesawat Radiografi Mobile (Shimadzu (PRP) Tipe Unit: , No. Seri Unit: Kond. Maks.: 133 -- , Tipe Tabung : 0713U163C, No. Seri Tabung : 80574 untuk diajukan Izin Radiologi Diagnostik dan/atau Intervensional melalui mekanisme perubahan izin untuk penambahan SRP pada Balis Perizinan 2.5.&lt;br /&gt;
 &lt;br /&gt;
 Unggah KTUN Rekomendasi Izin pemanfaatan yang telah mencantumkan SRP tersebut pada menu TLHI (Tindak Lanjut Hasil Inspeksi) BALIS INFARA&lt;br /&gt;
 (https://balis-infara.bapeten.go.id) sebagai bukti tindak lanjut hasil inspeksi.&lt;br /&gt;
 &lt;br /&gt;
 b) 2 (dua) unit PRP akan diajukan izin menyimpan sementara yaitu:&lt;br /&gt;
 1. 1 (satu) unit pesawat Radiografi Mobile (Angeli; (Siemens; Tipe Unit: SDR1503050, No. Seri Unit: 612342011, Kond. Maks.: 150 kV kV-400 mA, Tipe Tabung : SDR1503050, No. Seri Tabung : 612342011 SDR1503050 &lt;br /&gt;
 2. 1 (satu) unit pesawat CT-Scan Lighting Aquilion Toshiba; Tipe Unit: CSR9344171, No. Seri Unit: 7J118, dengan merek tabung: Toshiba; Tipe Tabung : CSR9344171, No. Seri Tabung : 7J118 CSR9344171 7J118.&lt;br /&gt;
 &lt;br /&gt;
 Unggah KTUN izin menyimpan sementara yang telah mencantumkan SRP tersebut pada menu TLHI (Tindak Lanjut Hasil Inspeksi) BALIS INFARA&lt;br /&gt;
 (https://balis-infara.bapeten.go.id) sebagai bukti tindak lanjut hasil inspeksi.&lt;br /&gt;
 &lt;br /&gt;
 &lt;br /&gt;
 &lt;br&gt;</t>
  </si>
  <si>
    <t>BLU RSUP. Prof. Dr. R.D. Kandou Manado</t>
  </si>
  <si>
    <t>Jl. Raya Tanawangko No 56 Manado Sulawesi Utara</t>
  </si>
  <si>
    <t>Jl. Raya Tanawangko No 56 Manado Sulawesi Utara,Manado,Sulawesi Utara</t>
  </si>
  <si>
    <t>00073.01.00475.01.1.0426</t>
  </si>
  <si>
    <t>- Terdapat 13 (tiga belas) Alat Radiologi Diagnostik Dan Intervensional dalam kondisi baik, digunakan dan tidak memiliki izin pemanfaatan dari BAPETEN (data terlampir).
 - Terdapat 17 (tujuh belas) Alat Radiologi Diagnostik Dan Intervensional dalam kondisi Rusak, tidak digunakan, alat berada di Gudang dan akan dilakukan penonaktifan (data terlampir).</t>
  </si>
  <si>
    <t>DKI Jakarta</t>
  </si>
  <si>
    <t>-BLU RSUP. Prof. Dr. R.D. Kandou Manado dilarang menggunakan Pesawat Sinar-X Radiologi Diagnostik tanpa izin sebanyak 13 (tiga belas) unit pesawat Radiologi Diagnostik Dan Intervensional dalam kondisi Baik dan mengajukan perubahan izin untuk penambahan SRP pada BALIS Perizinan 2.5.&lt;br /&gt;
 Unggah KTUN Rekomendasi Izin pemanfaatan yang telah mencantumkan SRP tersebut pada menu TLHI (Tindak Lanjut Hasil Inspeksi) BALIS INFARA&lt;br /&gt;
 (https://balis-infara.bapeten.go.id) sebagai bukti tindak lanjut hasil inspeksi.&lt;br&gt;-BLU RSUP. Prof. Dr. R.D. Kandou Manado mengajukan penonaktifan pesawat sinar-x yang tidak digunakan, melalui email ke difrzr@bapeten.go.id sampai terbit Surat Keputusan Penonaktifan SRP dari Direktorat Inspeksi FRZR dengan beberapa kelengkapan sebagai berikut:&lt;br /&gt;
 a.&lt;br /&gt;
 Surat Permohonan Penonaktifan SRP yang ditandatangani Direktur&lt;br /&gt;
 b.&lt;br /&gt;
 Berita Acara penanganan akhir pesawat sinar-X.&lt;br /&gt;
 Untuk menutup temuan, unggah surat penonaktifan pesawat sinar-x yang diterbitkan oleh Direktorat Inspeksi FRZR melalui menu TLHI (Tindak Lanjut Hasil Inspeksi) di Sistem BALIS INFARA (https://balis-infara.bapeten.go.id) sebagai bukti tindak lanjut hasil inspeksi.&lt;br&gt;</t>
  </si>
  <si>
    <t>Surat Penonaktifan alat</t>
  </si>
  <si>
    <t>Conch North Sulawesi Cement</t>
  </si>
  <si>
    <t>The Suites Tower Lt. 19, Jl. Boulevard Pantai Indah Kapuk No. 1</t>
  </si>
  <si>
    <t>The Suites Tower Lt. 19, Jl. Boulevard Pantai Indah Kapuk No. 1,Jakarta Utara,DKI Jakarta</t>
  </si>
  <si>
    <t>00069.01.10409.08.1.0426</t>
  </si>
  <si>
    <t>Gauging</t>
  </si>
  <si>
    <t>tertutup</t>
  </si>
  <si>
    <t>Terdapat 2 (dua) SRP yang belum memiliki izin, yaitu:
 • Sumber Cf-252 (Tipe: Z10S; No. Seri: FTC-CF-Z10532) dengan aktivitas 9.7 mCi dengan Lokasi Belt Analyzer;
 • BrukerS 8 TIGER ECO dengan No. seri: 211097 (Lokasi: Laboratorium X-Ray)</t>
  </si>
  <si>
    <t>-PT. Conch North Sulawesi Cement dilarang menggunakan Sumber Radiasi Pengion tanpa izin, sehingga PT. Conch North Sulawesi Cement harus segera mengajukan:&lt;br /&gt;
 1. Izin baru untuk kegiatan analisis menggunakan Sumber Radiasi Pengion untuk sumber: &lt;br /&gt;
 • Sumber Cf-252 (Tipe: Z10S; No. Seri: FTC-CF-Z10532) dengan aktivitas 9.7 mCi dengan Lokasi Belt Analyzer;&lt;br /&gt;
 • BrukerS 8 TIGER ECO dengan No. seri: 211097 (Lokasi: Laboratorium X-Ray);&lt;br /&gt;
 &lt;br /&gt;
 2. Melakukan pengurangan untuk izin No. 06312.390.1.050723 dan memasukkan SRP nya ke dalam izin Analisis menggunakan Sumber Radiasi Pengion untuk sumber:&lt;br /&gt;
 • Cf-252 Tipe : CVNU0081(X1094), No. Seri : 47523M;&lt;br /&gt;
 • Cf-252, Tipe : CVNU0081(X1094), No Seri : 47524M;&lt;br /&gt;
 &lt;br /&gt;
 Unggah KTUN Rekomendasi Izin pemanfaatan terbaru pada menu TLHI (Tindak Lanjut Hasil Inspeksi) BALIS INFARA (https://balis-infara.bapeten.go.id) sebagai bukti tindak lanjut hasil inspeksi.&lt;br /&gt;
 &lt;br /&gt;
 &lt;br&gt;</t>
  </si>
  <si>
    <t>0000-00-00</t>
  </si>
  <si>
    <t>Untuk SRP Cf 252 dengan Kode Sumber 0191052 sudah masuk di dalam Izin Pemanfaatan Gauging dengan nomor 06907.709.3.120626.
 Untuk SRP Bruker dengan Kode Sumber 0072344 sudah masuk dalam Izin Pemanfaatan Analisis Menggunakan Sumber Radiasi Pengion dengan nomor 06751.711.1.100626</t>
  </si>
  <si>
    <t>Vale Indonesia Tbk.</t>
  </si>
  <si>
    <t>The Energy Building, 31st Floor, SCBD Lot 11 A, Jl. Jend. Sudirman kav. 52-53, Senayan, Kebayoran Baru</t>
  </si>
  <si>
    <t>The Energy Building, 31st Floor, SCBD Lot 11 A, Jl. Jend. Sudirman kav. 52-53, Senayan, Kebayoran Baru,Jakarta Selatan,DKI Jakarta</t>
  </si>
  <si>
    <t>00077.01.07945.20.1.0426</t>
  </si>
  <si>
    <t>Fluoroskopi Bagasi</t>
  </si>
  <si>
    <t>Berdasarkan pemaparan pihak PT Vale Indonesia, Tbk di Makassar, terdapat 2 (dua) PRP yang belum memiliki Izin Pemanfaatan lingkup kegiatan Pemindai Bagasi. Telah diserahkan Surat Pelarangan Pemanfataan SRP kepada Pihak PT Vale Indonesia, Tbk.
 Data PRP Pemindai Bagasi meliputi:
 1. Rscan tipe/No. seri: RScan 5536 / 13090010
 2. RAPISCAN tipe/No.seri: RapiSCAN 628DV / 6181924 (Q12279)</t>
  </si>
  <si>
    <t>-Pelaku usaha agar segera mengajukan permohonan izin pemanfaatan lingkup kegiatan Pemindai Bagasi untuk 2 (dua) Pembangkit Radiasi Pengion tersebut.&lt;br /&gt;
 &lt;br /&gt;
 Unggah KTUN Izin Pemanfaatan tersebut melalui menu TLHI (Tindak Lanjut Hasil Inspeksi) di Sistem Balis Infara (https://balis-infara.bapeten.go.id) sebagai bukti tindak lanjut hasil inspeksi.&lt;br&gt;</t>
  </si>
  <si>
    <t>Menindaklanjuti Surat Hasil Inspeksi Nomor : T-00068/IS 02 08/V/2026 tertanggal 07 Mei 2026 mengenai inspeksi keselamatan yang telah dilakukan oleh Tim Inspeksi Bapeten pada tanggal 21 April 2026, untuk mendukung kegiatan operasional PT Vale Indonesia (”PT Vale”) bersama ini dapat kami sampaikan proses pendaftaran dokumen PRP Pemindai Bagasi telah dilakukan melalui sistem OSS BKPM akan tetapi hingga saat ini melalui informasi dari team help desk perijinan BAPETEN sistem OSS masih dalam proses penyesuaian sistem BKPM sehingga proses pengajuan permohonan izin melalui OSS belum dapat kami lakukan sesuai dengan batas waktu yang telah ditetapkan pada Surat Hasil Inspeksi Tersebut. Mengunggah KTUN Izin Pemanfaatan Fluoroskopi Bagasi</t>
  </si>
  <si>
    <t>00076.01.07945.08.1.0426</t>
  </si>
  <si>
    <t>Jawa Barat</t>
  </si>
  <si>
    <t>Berdasarkan pemaparan pihak PT Vale Indonesia, Tbk di Makassar, terdapat 16 (enam belas) Sumber Radiasi Pengion (SRP) yang belum memiliki Izin Pemanfaatan untuk lingkup kegiatan Analisis Menggunakan SRP dan Pengukuran (Gauging). Telah diserahkan Surat Pelarangan Pemanfataan SRP kepada Pihak PT Vale Indonesia, Tbk.
 Data PRP kegiatan Analisis meliputi:
 1. PANalytical tipe/No.seri tabung: MagixFAST / DK 404044
 2. PANalytical tipe/No.seri tabung: MagixFAST / DK 387184
 3. PANalytical Magix Fast DY 1014 tipe/No.seri tabung: PW2592/45 / DK 138299
 4. PANalytical Minipal 2 DY 740 tipe/No.seri tabung: PW4025 / DK166746
 5. Malvern Panalytical tipe/No.seri tabung: XRD Empyrean Tube / DK 442529
 6. PANalytical tipe/No.seri tabung: Epsilon 4 X-Ray Fluorescence / 439330
 7. PANalytical tipe/No.seri tabung: Epsilon 4 X-Ray Fluorescence / 439423
 8. PANalytical tipe/No.seri tabung: Epsilon 4 X-Ray Fluorescence / 439425
 9. PANalytical tipe/No.seri tabung: Epsilon 4 Tube (Assy Rh, Rh, Ag) / 442136
 10. PANalytical tipe/No.seri tabung: Epsilon 4 Tube (Assy Rh, Rh, Ag) / DK442525 
 11. PANalytical tipe/No.seri tabung: Epsilon 4 Tube (Assy Rh, Rh, Ag) / DK 442586
 12. SciAps tipe/No.seri tabung: Rh / X550-03823
 13. PANalytical Magix Fast tipe/No.seri tabung: Axios / DK 442594
 14. Thermo Scientific tipe/No.seri tabung: Niton XL3t 950 / 68634 / 11-19541
 15. Thermo Scientific tipe/No.seri tabung: Niton XL3t 500 / 68634 / 32908 / 27656-00978 
 Data ZRA kegiatan Pengukuran (Gauging) yaitu:
 1. H-3 tipe/No.seri: Cross Belt Analyzer / M1946</t>
  </si>
  <si>
    <t>-Pelaku usaha agar segera mengajukan permohonan izin pemanfaatan seluruh Sumber Radiasi Pengion sesuai dengan lingkup kegiatan masing-masing SRP yang digunakan di fasilitas.&lt;br /&gt;
 &lt;br /&gt;
 Unggah KTUN Izin Pemanfaatan tersebut melalui menu TLHI (Tindak Lanjut Hasil Inspeksi) di Sistem Balis Infara (https://balis-infara.bapeten.go.id) sebagai bukti tindak lanjut hasil inspeksi.&lt;br /&gt;
 &lt;br&gt;</t>
  </si>
  <si>
    <t>1. Mengajukan permohonan izin pemanfaatan seluruh Sumber Radiasi Pengion sesuai dengan lingkup kegiatan masing-masing SRP yang digunakan di fasilitas. Kecuali:
  a. PANalytical Minipal 2 DY 740 tipe/No.seri tabung: PW4025 / DK166746 (Dalam proses penonaktifan)
  b. H-3 tipe/No.seri: Cross Belt Analyzer / M1946 (Dalak proses pengurusan Izin)
 2. Mengunggah KTUN Izin PemanfaatanSudah dilakukan pengajuan ijin untuk gauging melalui Balis Perizinan dan masih ditemukan Evaluasi 2.
 Hasil evaluasi sedang dikonfirmasi ke Evaluator terkait:
 1. Pengelompokan dan Penyetaraan PPR menurut Bidang dan Tingkat sesuai dengan Perka No 16 tahun 2014 menjadi Perba No 4 tahun 2024, PPR Industri tingkat 2 termasuk lingkup Pengukuran (gauging).
 2. Seperti yang sudah dijelaskan di surat komitmen dari fasilitas, kalibrasi AUR neutron di Indonesia hanya bisa dilakukan di Lab Teknologi Radiasi BRIN, dimana sampai saat ini belum membuka layanan kalibrasi AUR neutron sejak Desember 2025. Surat komitmen sudah dilampirkan di Balis.</t>
  </si>
  <si>
    <t>RSUD Syekh Yusuf Gowa</t>
  </si>
  <si>
    <t>Jl. Dr. Wahidin Sudirohusodo No. 48, Sungguminasa, Goa, Sulawesi Selatan</t>
  </si>
  <si>
    <t>Jl. Dr. Wahidin Sudirohusodo No. 48, Sungguminasa, Goa, Sulawesi Selatan,,</t>
  </si>
  <si>
    <t>00081.01.01575.01.1.0426</t>
  </si>
  <si>
    <t>Terdapat pesawat Portable Fujifilm tipe/No.seri tabung: CEI / OX80-08 / 25011168 yang masih belum memiliki izin pemanfaatan.</t>
  </si>
  <si>
    <t>-Pelaku Usaha agar segera mengajukan permohonan izin pemanfaatan untuk pesawat tersebut.&lt;br /&gt;
 &lt;br /&gt;
 Unggah KTUN Izin pemanfaatan yang telah terbit tersebut melalui menu TLHI (Tindak Lanjut Hasil Inspeksi) di Sistem Balis Infara (https://balis-infara.bapeten.go.id) sebagai bukti tindak lanjut hasil inspeksi.&lt;br /&gt;
 &lt;br /&gt;
 &lt;br&gt;-Pelaku Usaha agar segera mengajukan permohonan izin penyimpanan sementara Pembangkit Radiasi Pengion.&lt;br /&gt;
 &lt;br /&gt;
 Unggah KTUN Izin penyimpanan sementara yang telah terbit tersebut melalui menu TLHI (Tindak Lanjut Hasil Inspeksi) di Sistem Balis Infara (https://balis-infara.bapeten.go.id) sebagai bukti tindak lanjut hasil inspeksi.&lt;br /&gt;
 &lt;br /&gt;
 &lt;br&gt;-Pelaku Usaha agar melanjutkan proses perizinan sampai dengan terbit KTUN Izin pemanfaatan.&lt;br /&gt;
 &lt;br /&gt;
 Unggah KTUN Izin pemanfaatan yang telah terbit tersebut melalui menu TLHI (Tindak Lanjut Hasil Inspeksi) di Sistem Balis Infara (https://balis-infara.bapeten.go.id) sebagai bukti tindak lanjut hasil inspeksi.&lt;br /&gt;
 &lt;br /&gt;
 &lt;br&gt;</t>
  </si>
  <si>
    <t>KTUN PESAWAT PORTABLE FUJI FILM</t>
  </si>
  <si>
    <t>Rumah Sakit Tk. IV 12.07.01 Singkawang</t>
  </si>
  <si>
    <t>Jl. Perwira H No. 15</t>
  </si>
  <si>
    <t>Jl. Perwira H No. 15,Singkawang,Kalimantan Barat</t>
  </si>
  <si>
    <t>00088.01.12372.01.1.0526</t>
  </si>
  <si>
    <t>Terdapat 3 (dua) Pesawat X-Ray yang belum memiliki izin pemanfaatan dengan data sebagai berikut:
 1. Merk: Siemens, Tipe Tabung : IAE X22, No. Seri Tabung : 132463
 2. Merk: GE, Tipe Unit: Optima XR200 AMX, No. Seri Unit: System S/N:SB2002000048WK Tube S/N:20H581, Tipe Tabung : E7894, No. Seri Tabung : 0H0112
 3. Merk: GE, Tipe Tabung : KL741020125, No. Seri Tabung : 1822912</t>
  </si>
  <si>
    <t>-Pihak Rumah Sakit agar melengkapi seluruh persyaratan perizinan dan melakukan proses pengajuan pemanfaatan atau mengajukan izin penyimpanan sementara untuk pesawat sinar-x berikut:&lt;br /&gt;
 1) Merk: Siemens, Tipe Tabung : IAE X22, No. Seri Tabung : 132463&lt;br /&gt;
 2) Merk: GE, Tipe Unit: Optima XR200 AMX, No. Seri Unit: System S/N:SB2002000048WK Tube S/N:20H581, Tipe Tabung : E7894, No. Seri Tabung : 0H0112&lt;br /&gt;
 3) Merk: GE, Tipe Tabung : KL741020125, No. Seri Tabung : 1822912&lt;br /&gt;
 &lt;br /&gt;
 Untuk menutup temuan, unggah KTUN rekomendasi izin yang telah mencantumkan pesawat sinar-x tersebut atau atau mengajukan izin penyimpanan sementara melalui menu TLHI (Tindak Lanjut Hasil Inspeksi) di Sistem Balis Infara (https://balis-infara.bapeten.go.id) sebagai bukti tindak lanjut hasil inspeksi.&lt;br&gt;</t>
  </si>
  <si>
    <t>RSUD Kabupaten Landak</t>
  </si>
  <si>
    <t>Jl. Ngabang - Sanggau No. 109</t>
  </si>
  <si>
    <t>Jl. Ngabang - Sanggau No. 109,Landak,Kalimantan Barat</t>
  </si>
  <si>
    <t>00086.01.08442.01.1.0526</t>
  </si>
  <si>
    <t>Banten</t>
  </si>
  <si>
    <t>Terdapat 2 (dua) Pesawat X-Ray yang belum memiliki izin pemanfaatan dengan data sebagai berikut:
 1. Merk: Siemens, Tipe Tabung: OPTI 135/30/55R/04801200, No. Seri Tabung: 525415 (kondisi rusak, akan diperbaiki).
 2. Merk: Carestream, Tipe Unit: CS8100SC, No. Seri Unit: MFIG097, Tipe Tabung: D-054, No. Seri Tabung: 4B51189 (kondisi baru). 
 Terdapat 3 (Tiga) Pesawat X-ray dalam kondisi rusak berat dan tidak digunakan dengan data sebagai berikut:
 1. X-ray Mobile Merk: Stephani/Trovi, Tipe: M100HF, No. Seri Tabung: PK11524
 2. X-ray Mobile, Merk: Stevani, No. Seri: PK11524
 3. X-ray Fluoroskopi, Merk: Toshiba, Tipe: E7884X, No. Seri: 09B166</t>
  </si>
  <si>
    <t>-Pelaku Usaha agar melengkapi seluruh persyaratan perizinan dan melakukan proses perizinan melalui OSS terintegrasi Balis 2.5 hingga terbit rekomendasi izin pemanfaatan untuk pesawat sinar-x berikut: &lt;br /&gt;
 1. Merk: Siemens, Tipe Tabung: OPTI 135/30/55R/04801200, No. Seri Tabung: 525415 &lt;br /&gt;
 2. Merk: Carestream, Tipe Unit: CS8100SC, No. Seri Unit: MFIG097, Tipe Tabung: D-054, No. Seri Tabung: 4B51189 &lt;br /&gt;
 &lt;br /&gt;
 Untuk menutup temuan, unggah KTUN rekomendasi izin yang telah mencantumkan pesawat sinar-x tersebut melalui menu TLHI (Tindak Lanjut Hasil Inspeksi) di Sistem Balis Infara (https://balis-infara.bapeten.go.id) sebagai bukti tindak lanjut hasil inspeksi.&lt;br /&gt;
 &lt;br /&gt;
 Pelaku Usaha DILARANG mengoperasikan peralatan sinar-x sebelum KTUN izin pemanfaatan terbit.&lt;br /&gt;
  &lt;br&gt;-Pelaku Usaha agar membuat Surat Pernyataan yang menyatakan bahwa ketiga pesawat sinar-x berikut:&lt;br /&gt;
 1. X-ray Mobile Merk: Stephani/Trovi, Tipe: M100HF, No. Seri Tabung: PK11524&lt;br /&gt;
 2. X-ray Mobile, Merk: Stevani, No. Seri: PK11524&lt;br /&gt;
 3. X-ray Fluoroskopi, Merk: Toshiba, Tipe: E7884X, No. Seri: 09B166&lt;br /&gt;
 akan dimusnahkan dan ditandatangani oleh Direktur Rumah Sakit.&lt;br /&gt;
 &lt;br /&gt;
 Untuk menutup temuan, unggah surat pernyataan tersebut diatas melalui menu TLHI (Tindak Lanjut Hasil Inspeksi) di Sistem Balis Infara (https://balisinfara.bapeten.go.id) sebagai bukti tindak lanjut hasil inspeksi.&lt;br&gt;</t>
  </si>
  <si>
    <t>Dra. Indrawati, B. Sc</t>
  </si>
  <si>
    <t>Jl. Adi Sucipto Komp RSDS No. 17</t>
  </si>
  <si>
    <t>Jl. Adi Sucipto Komp RSDS No. 17,Pontianak,Kalimantan Barat</t>
  </si>
  <si>
    <t>00084.01.11166.01.1.0526</t>
  </si>
  <si>
    <t>Terdapat 2 (dua) Pesawat X-Ray yang belum memiliki izin pemanfaatan dengan data sebagai berikut:
 1. Pesawat Panoramic dengan tabung Merk: Toshiba, Tipe: D067, nomor seri: 7935 (kondisi rusak, akan diperbaiki).
 2. Pesawat sinar-x stationery Merk: DRGEM, Tipe: Diagnostic X-Ray System GXR - 32S, No. Seri Unit: DXH2510001A, Tipe Tabung : DXT-8M, No. Seri Tabung: M2412222 (kondisi baru).
 Terdapat 3 (tiga) Pesawat X-ray dalam kondisi rusak berat dan tidak digunakan dengan data sebagai berikut:
 1. Merk: Daeyoung Tipe Tabung: E7239, No. Seri Tabung: 5D0192
 2. Merk: GE, Tipe Tabung: D0515, No. Seri Tabung: 3446
 3. Merk: Blue X, Tipe Tabung : OCX/70-G, No. Seri Tabung : 2101TH2474</t>
  </si>
  <si>
    <t>-Pelaku Usaha agar melengkapi seluruh persyaratan perizinan dan melakukan proses perizinan melalui OSS terintegrasi Balis 2.5 hingga terbit rekomendasi izin pemanfaatan untuk pesawat sinar-x berikut:&lt;br /&gt;
 1. Pesawat Panoramic dengan tabung Merk: Toshiba, Tipe: D067, nomor seri: 7935.&lt;br /&gt;
 2. Pesawat sinar-x stationery Merk: DRGEM, Tipe: Diagnostic X-Ray System GXR - 32S, No. Seri Unit: DXH2510001A, Tipe Tabung : DXT-8M, No. Seri Tabung: M2412222&lt;br /&gt;
 &lt;br /&gt;
 Untuk menutup temuan, unggah KTUN rekomendasi izin yang telah mencantumkan pesawat sinar-x tersebut melalui menu TLHI (Tindak Lanjut Hasil Inspeksi) di Sistem Balis Infara (https://balis-infara.bapeten.go.id) sebagai bukti tindak lanjut hasil inspeksi.&lt;br /&gt;
 &lt;br /&gt;
 Pelaku Usaha DILARANG mengoperasikan peralatan sinar-x sebelum KTUN izin pemanfaatan terbit.&lt;br /&gt;
 &lt;br&gt;-Pelaku Usaha agar membuat Surat Pernyataan yang menyatakan bahwa tiga pesawat sinar-x berikut:&lt;br /&gt;
 1. Merk: Daeyoung Tipe Tabung: E7239, No. Seri Tabung: 5D0192&lt;br /&gt;
 2. Merk: GE, Tipe Tabung: D0515, No. Seri Tabung: 3446&lt;br /&gt;
 3. Merk: Blue X, Tipe Tabung: OCX/70-G, No. Seri Tabung: 2101TH2474&lt;br /&gt;
 akan dimusnahkan, Surat Pernyataan ditandatangani oleh Pemilik Klinik.&lt;br /&gt;
 &lt;br /&gt;
 Untuk menutup temuan, unggah surat pernyataan tersebut diatas melalui menu TLHI (Tindak Lanjut Hasil Inspeksi) di Sistem Balis Infara (https://balis-infara.bapeten.go.id) sebagai bukti tindak lanjut hasil inspeksi.&lt;br&gt;</t>
  </si>
  <si>
    <t>Supreme Paper Solution</t>
  </si>
  <si>
    <t>Jalan Raya Kupang Baru No. 27, Desa/Kelurahan Dukuh Kupang, Kec. Dukuh Pakis</t>
  </si>
  <si>
    <t>Jalan Raya Kupang Baru No. 27, Desa/Kelurahan Dukuh Kupang, Kec. Dukuh Pakis,Surabaya,Jawa Timur</t>
  </si>
  <si>
    <t>00104.01.15209.08.1.0526</t>
  </si>
  <si>
    <t>2026-05-04 s/d 2026-05-08</t>
  </si>
  <si>
    <t>PT Supreme Paper Solution memiliki 4 unit SRP yang belum tercantum dalam Izin Pemanfaatan yang berlaku dengan rincian:
 a. Jenis ZRA: Kr-85
 Tipe: KACB10884 (VZ-3304-001)
 Nomor Seri: KR-1479
 Aktivitas: 14,4 GBq
 Tanggal Aktivitas: 20/07/2012
 b. Jenis ZRA: Cs-137
 Tipe: SSC-100
 Nomor Seri: 189-02-12
 Aktivitas: 185 MBq
 Tanggal Aktivitas: 04/10/2012
 c. Jenis ZRA: Cs-137
 Tipe: SSC-100
 Nomor Seri: 190-02-12
 Aktivitas: 185 MBq
 Tanggal Aktivitas: 04/10/2012
 d. Jenis ZRA: Cs-137
 Tipe: SSC-100
 Nomor Seri: 191-02-12
 Aktivitas: 185 MBq
 Tanggal Aktivitas: 04/10/2012</t>
  </si>
  <si>
    <t>-Pelaku usaha segera mengajukan izin pemanfaatan untuk sublingkup Pengukuran (Gauging) dengan Sumber Radioaktif Terpasang Tetap (Single Source) untuk 4 SRP tersebut melalui sistem OSS (https://oss.go.id) terintegrasi dengan Balis Perizinan 2.5 (https://balis.bapeten.go.id/frontend2/public/index.php) &lt;br /&gt;
 &lt;br /&gt;
 Unggah KTUN rekomendasi izin yang telah terbit dari BALIS 2.5 yang sudah mencantumkan data ZRA tersebut melalui menu TLHI (Tindak Lanjut Hasil Inspeksi) di Sistem BALIS INFARA (https://balis-infara.bapeten.go.id) sebagai bukti tindak lanjut hasil inspeksi.&lt;br /&gt;
 &lt;br&gt;</t>
  </si>
  <si>
    <t>Dalam proses perizinan dan baru memiliki PKZR</t>
  </si>
  <si>
    <t>Sanbe Prakarsa Husada</t>
  </si>
  <si>
    <t>Jl. Taman Sari No. 10</t>
  </si>
  <si>
    <t>Jl. Taman Sari No. 10,Bandung,Jawa Barat</t>
  </si>
  <si>
    <t>00109.01.06472.01.1.0526</t>
  </si>
  <si>
    <t>Berdasarkan sertifikat uji kesesuaian dengan nomor 25020914102411 oleh Lembaga uji kesesuaian PT. Philips Indonesia Commercial, RSU. Santosa Hospital Bandung Central memiliki 1 SRP yang belum tercantum dalam izin dengan rincian:
 merk unit : Philips
 tipe unit : Allura Xper FD20
 merk tabung : Philips
 tipe tabung : MRC 200 0407
 nomor seri tabung : 406535</t>
  </si>
  <si>
    <t>-RSU. Santosa Hospital Bandung Central agar melakukan penelusuran ke lembaga uji kesesuaian mengenai pelaksanaan uji kesesuaian tersebut. Apabila data tersebut benar, segera mengajukan izin pemanfaatan untuk sublingkup RADIOLOGI DIAGNOSTIK DAN/ATAU INTERVENSIONAL untuk 1 SRP tersebut melalui Balis Perizinan 2.5 (https://balis.bapeten.go.id/frontend2/public/index.php) &lt;br /&gt;
 &lt;br /&gt;
 Unggah KTUN rekomendasi izin yang telah terbit dari BALIS 2.5 yang sudah mencantumkan data SRP tersebut atau surat pernyataan dari lembaga uji kesesuaian mengenai data tersebut apabila data tidak sesuai melalui menu TLHI (Tindak Lanjut Hasil Inspeksi) di Sistem BALIS INFARA (https://balis-infara.bapeten.go.id) sebagai bukti tindak lanjut hasil inspeksi.&lt;br&gt;</t>
  </si>
  <si>
    <t>Santosa Hospital Bandung Central memiliki 1 SRP yang belum tercantum dalam izin dengan rincian:
 merk unit : Philips
 tipe unit : Allura Xper FD20
 merk tabung : Philips
 tipe tabung : MRC 200 0407
 nomor seri tabung : 406535
 Sudah dilakukan pengecekan bahwa benar SRP tersebut adalah milik Santosa Hospital Bandung Central, dengan riwayat penggantian tabung. Saat ini sudah dilakukan penghentian izin tube lama, dan penambahan untuk tube baru. Proses penambahan tube yang baru sudah memenuhi penilaian dan saat akan segera dilakukan pembayaran agar KTUN terbaru dapat di terbitkan.Philips tipe tabung : MRC 200 0407 nomor seri tabung : 406535 Sudah memiliki izin 07209.608.3.190626</t>
  </si>
  <si>
    <t>RSUD Dr. (H.C.) Ir. Soekarno Provinsi Kepulauan Bangka Belitung</t>
  </si>
  <si>
    <t>Jl. Zipur, Desa Air Ainyir, Kec. Merawang</t>
  </si>
  <si>
    <t>Jl. Zipur, Desa Air Ainyir, Kec. Merawang,Bangka,Kepulauan Bangka Belitung</t>
  </si>
  <si>
    <t>00120.01.08315.01.1.0526</t>
  </si>
  <si>
    <t>2026-05-18 s/d 2026-05-22</t>
  </si>
  <si>
    <t>Jawa Tengah</t>
  </si>
  <si>
    <t>1. Terdapat 5 (lima) unit SRP kondisi rusak dan belum pernah memiliki izin:
  a. Italray, tipe Clinodigit Omega, no unit 09-216-20
  b. SMAM srl, tipe IAE X20P, nomor seri 12W203 (ESWL)
  c. Canon, tipe E7239, nomor seri 0L0832
  d. Orthopantomograph OP200, tipe THA100, nomor seri D-051S
  e. Philips Mobile, Tipe: E7886; No.seri: 8C0641
 2. Terdapat 1 (satu) unit SRP merk Azurion 7 B20 nomor seri tabung 413189 program KJSU yang belum masuk ke dalam KTUN karena masih menunggu pengadaan TLD mata.</t>
  </si>
  <si>
    <t>-Pelaku Usaha agar :&lt;br /&gt;
 - membuat pernyataan bahwa alat tidak digunakan kembali apabila tidak akan diperbaiki dengan melampirkan berita acara penghapusan inventaris barang, atau&lt;br /&gt;
 - mengajukan izin pemanfaatan apabila telah diperbaiki dengan melengkapi seluruh persyaratan.&lt;br /&gt;
 &lt;br /&gt;
 Untuk menutup temuan, unggah bukti berupa berita acara penghapusan inventaris barang atau izin pemanfaatan terbaru melalui menu TLHI (Tindak Lanjut Hasil Inspeksi) di Sistem Balis Infara (https://balis-infara.bapeten.go.id) sebagai bukti tindak lanjut hasil inspeksi.&lt;br&gt;-Pelaku Usaha agar mengajukan Perubahan Izin dengan menambah SRP Azurion B20 nomor seri tabung 413189 melalui Balis Perizinan, jika sudah memenuhi persyaratan.&lt;br /&gt;
 &lt;br /&gt;
 Untuk menutup temuan, unggah bukti berupa KTUN izin terbaru melalui menu TLHI (Tindak Lanjut Hasil Inspeksi) di Sistem Balis Infara (https://balis-infara.bapeten.go.id) sebagai bukti tindak lanjut hasil inspeksi.&lt;br&gt;-Pelaku Usaha agar:&lt;br /&gt;
 - Segera memperbaiki SRP untuk mengoperasikan secara normal, atau&lt;br /&gt;
 - Mengajukan pengurangan SRP pada KTUN izin pemanfaatan apabila tidak akan digunakan kembali dengan melampirkan berita acara penghapusan inventaris barang.&lt;br /&gt;
 &lt;br /&gt;
 Untuk menutup temuan, unggah bukti berupa berita acara perbaikan atau pengajuan pengurangan SRP melalui menu TLHI (Tindak Lanjut Hasil Inspeksi) di Sistem Balis Infara (https://balis-infara.bapeten.go.id) sebagai bukti tindak lanjut hasil inspeksi.&lt;br&gt;-Pelaku Usaha agar mengajukan Perubahan Izin dengan melakukan pengurangan SRP (Tabung x-ray no. seri 146114) yang sudah tidak digunakan.&lt;br /&gt;
 &lt;br /&gt;
 Untuk menutup temuan, unggah bukti berupa KTUN izin terbaru melalui menu TLHI (Tindak Lanjut Hasil Inspeksi) di Sistem Balis Infara (https://balis-infara.bapeten.go.id) sebagai bukti tindak lanjut hasil inspeksi.&lt;br&gt;</t>
  </si>
  <si>
    <t>SRP Azurion 7 B20 telah terbit izinItalray, tipe Clinodigit Omega, no unit 09-216-20 dan Canon, tipe E7239, nomor seri 0L0832 dilakukan penyimpanan sementaraSMAM srl, tipe IAE X20P, nomor seri 12W203 (ESWL) Orthopantomograph OP200, tipe THA100, nomor seri D-051S dan Philips Mobile, Tipe: E7886; No.seri: 8C0641telah ber email ke difrzr@bapeten.go.id tentang penonaktifan</t>
  </si>
  <si>
    <t>RSUD Kriopanting Payung</t>
  </si>
  <si>
    <t>Jl. Angkap Seruk Desa Payung Kec. Payung</t>
  </si>
  <si>
    <t>Jl. Angkap Seruk Desa Payung Kec. Payung,Bangka Selatan,Kepulauan Bangka Belitung</t>
  </si>
  <si>
    <t>00119.01.12887.01.1.0526</t>
  </si>
  <si>
    <t>Terdapat 1 (satu) unit Sumber Radiasi Pengion (SRP) yang tidak memiliki izin, yaitu merk IMD, tipe tabung IAEX22 no seri tabung 13V224 (belum dioperasikan)</t>
  </si>
  <si>
    <t>-Pelaku Usaha agar mengajukan perubahan izin dengan menambahkan SRP tersebut melalui Balis 2.5.&lt;br /&gt;
 &lt;br /&gt;
 Untuk menutup temuan, unggah bukti KTUN izin terbaru melalui menu TLHI (Tindak Lanjut Hasil Inspeksi) di Sistem Balis Infara (https://balis-infara.bapeten.go.id) sebagai bukti tindak lanjut hasil inspeksi.&lt;br&gt;</t>
  </si>
  <si>
    <t>BLU RSUD Dr. Eko Maulana Ali</t>
  </si>
  <si>
    <t>Jl.Raya Belinyu Dusun Sp.Cangkum Desa Riding Panjang Belinyu Bangka 33254</t>
  </si>
  <si>
    <t>Jl.Raya Belinyu Dusun Sp.Cangkum Desa Riding Panjang Belinyu Bangka 33254,Bangka,Kepulauan Bangka Belitung</t>
  </si>
  <si>
    <t>00114.01.09118.01.1.0526</t>
  </si>
  <si>
    <t>Terdapat 2 (dua) unit Sumber Radiasi Pengion (SRP) yang tidak memiliki izin, yaitu:
 1. Won Solution Mobile WSM-300 (Toshiba), tabung Toshiba tipe E7239, nomor seri 7H0544 (izin kedaluwarsa); dan
 2. General Medical Merate S.p.A, tipe XD56-11, nomor seri 14041852W.</t>
  </si>
  <si>
    <t>-Pelaku Usaha agar :&lt;br /&gt;
 • membuat pernyataan bahwa alat tidak digunakan kembali apabila tidak akan diperbaiki dengan melampirkan berita acara penghapusan inventaris barang dan mengirimkan melalui email difrzr@bapeten.go.id, atau &lt;br /&gt;
 • mengajukan izin pemanfaatan apabila telah diperbaiki dengan melengkapi seluruh persyaratan.&lt;br /&gt;
 &lt;br /&gt;
 Untuk menutup temuan, unggah bukti berupa berita acara penghapusan inventaris barang atau izin pemanfaatan terbaru melalui menu TLHI (Tindak Lanjut Hasil Inspeksi) di Sistem Balis Infara (https://balis-infara.bapeten.go.id) sebagai bukti tindak lanjut hasil inspeksi. &lt;br&gt;</t>
  </si>
  <si>
    <t>berita acara dan surat permohonan pemberhentian alat</t>
  </si>
  <si>
    <t>Audy Mandiri Pondok Bambu</t>
  </si>
  <si>
    <t>JL. Pahlawan Revolusi No.8 B-C, RT/RW 005/012,Pondok Bambu, Duren Sawit</t>
  </si>
  <si>
    <t>JL. Pahlawan Revolusi No.8 B-C, RT/RW 005/012,Pondok Bambu, Duren Sawit,Jakarta Timur,DKI Jakarta</t>
  </si>
  <si>
    <t>00124.01.14586.01.1.0626</t>
  </si>
  <si>
    <t>2026-06-08 s/d 2026-06-12</t>
  </si>
  <si>
    <t>Daerah Istimewa Yogyakarta</t>
  </si>
  <si>
    <t>Terdapat 1 (satu) unit pesawat sinar-X dengan izin masih berlaku No. 07419.384.1.020823, merk: Rayscan , Tipe: Sayscan Alpha-sc, No. Seri tabung: 054SB/0C02618 (Panoramic Chepalometric)
 Pesawat X-Ray sudah dipindahkan ke cabang Audy Dental di gedung FX Sudirman Jl. Jend Sudirman Jakarta Selatan.
 Rencana akan melakukan pengadaan pesawat gigi CBCT</t>
  </si>
  <si>
    <t>-Pelaku Usaha agar mengajukan pengurangan SRP melalui Balis perizinan 2.5 .&lt;br /&gt;
 &lt;br /&gt;
 Untuk menutup temuan unggah KTUN pengurangan SRP melalui menu TLHI (Tindak Lanjut Hasil Inspeksi) di Sistem Balis Infara (https://balis-infara.bapeten.go.id) sebagai bukti tindak lanjut hasil inspeksi&lt;br&gt;</t>
  </si>
  <si>
    <t>Gamma Ray Indonesia</t>
  </si>
  <si>
    <t>Jl. H. Jamat No. 30 RT.001/002, Buaran - Serpong</t>
  </si>
  <si>
    <t>Jl. H. Jamat No. 30 RT.001/002, Buaran - Serpong,Tangerang Selatan,Banten</t>
  </si>
  <si>
    <t>00140.01.08434.15.1.0626</t>
  </si>
  <si>
    <t>Ekspor/Impor ZRA</t>
  </si>
  <si>
    <t>Terdapat 7 (tujuh) unit SRP yang belum masuk dalam izin penyimpanan sementara
 1 A/702/791 TT5774 26-017/BASTLR-r-192/GRI/DIR/VI/2026 4 juni 2026
 2 A/702/791 TT6209 26-016/BASTLR-r-192/GRI/DIR/V/2026 18 Mei 2026
 3 A/702/791 TT5728 26-015/BASTLR-r-192/GRI/DIR/V/2026 13 Mei 2026
 4 A/702/791 TT6207 26-014/BASTLR-r-192/GRI/DIR/V/2026 12 Mei 2026
 5 7(A) TT6212 26-012/BASTLR-r-192/GRI/DIR/V/2026 05 Mei 2026
 6 A/702/791 TT5774 26-006/BASTLR-r-192/GRI/DIR/II/2026 13 Februari 2026
 7 7(A) TT5767 26-002/BASTLR-r-192/GRI/DIR/I/2026 09 Januari 2026
 Koordinat lokasi bunker -6.370128753994948, 106.6812580986062</t>
  </si>
  <si>
    <t>-Pelaku Usaha agar mengajukan revisi izin dengan memasukkan SRP yang belum tercantum.&lt;br /&gt;
 &lt;br /&gt;
 Untuk menutup temuan, unggah KTUN terkini yang telah mencantumkan SRP tersebut melalui menu TLHI (Tindak Lanjut Hasil Inspeksi) di Sistem Balis Infara (https://balis-infara.bapeten.go.id) sebagai bukti tindak lanjut hasil inspeksi.&lt;br&gt;-Pelaku Usaha agar melanjutkan proses perizinan sampai terbit izin penyimpanan sementara untuk SRP tersebut.&lt;br /&gt;
 &lt;br /&gt;
 Untuk menutup temuan, unggah bukti izin penyimpanan sementara melalui menu TLHI (Tindak Lanjut Hasil Inspeksi) di Sistem Balis Infara (https://balis-infara.bapeten.go.id) sebagai bukti tindak lanjut hasil inspeksi.&lt;br&gt;</t>
  </si>
  <si>
    <t>KTUN 06953.629.3.120626
 tentang Perubahan Rekomendasi Penyimpanan Sementara Zat Radioaktif Nomor : 06838.629.3.110626</t>
  </si>
  <si>
    <t>Pesat Servis Industri</t>
  </si>
  <si>
    <t>Jl. NNT Batu Hijau No. 1</t>
  </si>
  <si>
    <t>Jl. NNT Batu Hijau No. 1,Sumbawa,Nusa Tenggara Barat</t>
  </si>
  <si>
    <t>00134.01.09958.06.1.0626</t>
  </si>
  <si>
    <t>Radiografi Industri</t>
  </si>
  <si>
    <t>Memiliki izin multi lokasi No. 03312.741.3.260326 untuk 5 unit Kamera/SRP
 1 Ir-192 LIR-05/008 AI045 (ZZ149) 2987 GBq (13 Oktober 2025)
 2 Ir-192 LIR-05/008 AI033 (ZZ150) 2982 GBq (13 Oktober 2025)
 3 Ir-192 LIR-05/008 AI150 (ZZ159) 2994 GBq (07 December 2025)
 4 Ir-192 LIR-05/008 BB166 (1221G) 2930 GBq (18 Jan 2026)
 5 Ir-192 LIR-05/008 BB400 (1858G) 2749 GBq (10 Feb 2026)
 Terdapat 1 (satu) unit Kamera Radiografi Merk. Sentinel Tipe 880 Delta No. Seri D11224 yang dihibahkan dari PT. Raga Utama Perkasa ke PT. Pesat Service Industri dengan Surat Pernyataan Hibah No. 001/NDT/RUP/BAP/VI/2026 tanggal 6 Juni 2026.
 Terdapat 3 unit kamera radiografi yang masih dalam penggantian sumber diimportir
 1. No. Seri Kamera D12775 dengan No. Seri SRP terakhir ZZ140
 2. No. Seri Kamera D13371 dengan No. Seri SRP terakhir ZZ141
 3. No. Seri Kamera D5622 dengan No. Seri SRP terakhir BA749
 Seluruh SRP memiliki persetujuan pengiriman ke lokasi pemanfaatan, izin pemanfaatan pada saat digunakan, dan pengiriman dari lokasi bunker (Ciputat) ke Importir, namun tidak memiliki persetujuan pengiriman dari lokasi pemanfaatan ke lokasi bunker (Ciputat).</t>
  </si>
  <si>
    <t>-Pelaku Usaha agar berkomitmen untuk selalu memenuhi ketentuan keselamatan dan peraturan yang berlaku&lt;br /&gt;
 &lt;br /&gt;
 Untuk menutup temuan, unggah bukti Surat Komitmen melalui menu TLHI (Tindak Lanjut Hasil Inspeksi) di Sistem Balis Infara (https://balis-infara.bapeten.go.id) sebagai bukti tindak lanjut hasil inspeksi.&lt;br&gt;-Pelaku Usaha agar melanjutkan proses pengajuan sampai keluar izin baru.&lt;br /&gt;
 &lt;br /&gt;
 Untuk menutup temuan, unggah bukti izin terbit melalui menu TLHI (Tindak Lanjut Hasil Inspeksi) di Sistem Balis Infara (https://balis-infara.bapeten.go.id) sebagai bukti tindak lanjut hasil inspeksi.&lt;br&gt;</t>
  </si>
  <si>
    <t>Surat Komitmen agar selalu memenuhi ketentuan keselamatan dan peraturan yang berlaku</t>
  </si>
  <si>
    <t>Badan Riset dan Inovasi Nasional</t>
  </si>
  <si>
    <t>Jawa Timur</t>
  </si>
  <si>
    <t>Jl. Raya Lebak Bulus, Pasar Jum'at</t>
  </si>
  <si>
    <t>Jl. Raya Lebak Bulus, Pasar Jum'at,Jakarta Selatan,DKI Jakarta</t>
  </si>
  <si>
    <t>00139.01.13349.10.1.0626</t>
  </si>
  <si>
    <t>Irradiator Tingkat IV</t>
  </si>
  <si>
    <t>Izin operasi iradiator nomor 04998.371.1.300523 tanggal 30 Mei 2023 masih berlaku sampai dengan 29 Mei 2028 namun sejak awal 2025 fasilitas tidak dioperasikan, karena terjadi kekosongan pengelola fasilitas. Pengelola fasilitas yang bernama PT Sakinah Teknologi Asia (pengelola sebelumnya) diberhentikan pada tanggal 2 Januari 2025 dengan Berita Acara Penghentian Perjanjian Kerjasama nomor: B-35/II.6/KS/1/2025 dan nomor: 007/BRINSTA/I/2025.2. 
 BRIN sedang berproses untuk memperoleh kesepakatan dengan calon pengelola baru (PT. Biro Klasifikasi Indonesia).</t>
  </si>
  <si>
    <t>-BRIN agar segera menginformasikan kepada BAPETEN mengenai pengoperasi yang baru, setelah ada kesepakatan (dengan pengoperasi baru). &lt;br /&gt;
 &lt;br /&gt;
 Untuk menutup temuan, unggah Surat Pemberitahuan status terkini atas pengelolaan fasilitas IGMP BRIN melalui menu TLHI (Tindak Lanjut Hasil Inspeksi) di Sistem Balis Infara (https://balis-infara.bapeten.go.id) sebagai bukti tindak lanjut hasil inspeksi.&lt;br&gt;</t>
  </si>
  <si>
    <t>Garudafood Putra Putri Jaya</t>
  </si>
  <si>
    <t>Jl. Rancaekek Km. 24,5 Komplek Industri Dwipapuri Kav. C-2, Mangunarga, Cimanggung</t>
  </si>
  <si>
    <t>Jl. Rancaekek Km. 24,5 Komplek Industri Dwipapuri Kav. C-2, Mangunarga, Cimanggung,Sumedang,Jawa Barat</t>
  </si>
  <si>
    <t>00132.01.08038.12.1.0626</t>
  </si>
  <si>
    <t>Fotofluorografi</t>
  </si>
  <si>
    <t>Terdapat 1 (satu) SRP yang belum masuk ke dalam KTUN dengan data sebagai berikut:
 Merk Mettler Toledo Safeline X-Ray 
 Tipe Unit : X35
 Tipe Tabung : SAX1602, No Seri Tabung : BTAA5388SX
 Ket: instalasi 2024, tidak dioperasikan</t>
  </si>
  <si>
    <t>-Pelaku Usaha agar melakukan perubahan KTUN dengan menambahkan SRP baru melalui Balis Perizinan.&lt;br /&gt;
 &lt;br /&gt;
 Untuk menutup temuan, unggah KTUN terbaru melalui menu TLHI (Tindak Lanjut Hasil Inspeksi) di Sistem Balis Infara (https://balis-infara.bapeten.go.id) sebagai bukti tindak lanjut hasil inspeksi.&lt;br /&gt;
 &lt;br&gt;</t>
  </si>
  <si>
    <t>BLU RSUD Kota Cilegon</t>
  </si>
  <si>
    <t>Jl. Kapt. Piere Tendean Km.3, Panggung Rawi</t>
  </si>
  <si>
    <t>Jl. Kapt. Piere Tendean Km.3, Panggung Rawi,Cilegon,Banten</t>
  </si>
  <si>
    <t>00154.01.03230.01.1.0626</t>
  </si>
  <si>
    <t>Terdapat 6 (enam) buah pesawat sinar-X dalam kondisi rusak (akibat banjir/diskontinu/plat detektor rusak), masih menunggu keputusan manajemen rumah
 sakit untuk rencana tindak lanjut perbaikan atau pemusnahan. Data pesawat
 sinar-X tersebut adalah: 
 1. DR-GEM TOPAZ-40D Tipe:vDXT-8 No. Seri: M2004208 (Radiografi mobile).
 2. Hitachi Scenaria (Varian)Tipe: MCS7070HP No. Seri: 67285-U6 (CTScan).
 3. GE DR-F Tipe: E7843 No. Seri: 6C0454 (Radiografi umum).
 4. Siemens Mammomat Select (Tabung I.A.E. SpA) Tipe: XM15 No. Seri: 65W118 (mammografi).
 5. Asahi (Dental) Tipe: D-081 No. Seri: 3F57797
 6. Philips FLUOROSKOPI [C-Arm]Tipe: RO0306 No. Seri: 82W844</t>
  </si>
  <si>
    <t>-Pelaku usaha agar mengajukan izin penyimpanan sementara terhadap 6 (enam) buah pesawat sinar-x tersebut.&lt;br /&gt;
 &lt;br /&gt;
 Untuk menutup temuan, unggah KTUN izin penyimpanan sementara melalui menu TLHI (Tindak Lanjut Hasil Inspeksi) di Sistem Balis Infara (https://balisinfara.bapeten.go.id) sebagai bukti tindak lanjut hasil inspeksi.&lt;br&gt;</t>
  </si>
  <si>
    <t>BLU RSUD Khidmat Sehat Afiat Kota Depok</t>
  </si>
  <si>
    <t>Jl. Raya Mochtar No. 99, Sawangan</t>
  </si>
  <si>
    <t>Jl. Raya Mochtar No. 99, Sawangan ,Depok,Jawa Barat</t>
  </si>
  <si>
    <t>00169.01.06385.01.1.0726</t>
  </si>
  <si>
    <t>2026-06-22 s/d 2026-06-26</t>
  </si>
  <si>
    <t>Telah memiliki KTUN Izin pemanfaatan dengan data sebagai berikut:
 - KTUN Izin 04851.608.3.290426 MB:2028-03-14 =&gt; Radiologi Diagnostik dan/atau Intervensional
 - KTUN Izin 12221.399.1.281123 MB:2028-11-27 =&gt; Radiologi Diagnostik untuk Pesawat Gigi Intra Oral
 Total Pesawat sinar-x yang ada sebanyak 13 unit.
 Terdapat satu unit SRP yang dilakukan pergantian tabung dan belum tercantum dalam izin pemanfaatan, yaitu:
 Merk unit: Canon
 Tipe unit: IME-100L
 No seri unit: W4C2172563
 Merk tabung: Canon
 Tipe tabung: DR1603
 No seri Tabung: 1F0539
 No seri tabung baru: 25G1230</t>
  </si>
  <si>
    <t>-Kode Temuan 1.01.01&lt;br /&gt;
 Pelaku Usaha agar mengajukan perubahan data izin pemanfaatan (perubahan SRP) ke BAPETEN melalui Balis Perizinan.&lt;br /&gt;
 &lt;br /&gt;
 KTUN izin pemanfaatan diunggah di Sistem Balis Infara (https://balis-infara.bapeten.go.id) pada menu TLHI (Tindak Lanjut Hasil Inspeksi) sebagai bukti tindak lanjut hasil inspeksi.&lt;br /&gt;
 &lt;br&gt;</t>
  </si>
  <si>
    <t>Bali</t>
  </si>
  <si>
    <t>Telah dilakukan perubahan data izin pemanfaatan (perubahan SRP) ke BAPETEN melalui Balis Perizinan.</t>
  </si>
  <si>
    <t>RS. Kanker Dharmais</t>
  </si>
  <si>
    <t>Jl. S. Parman Kav. 84-86</t>
  </si>
  <si>
    <t>Jl. S. Parman Kav. 84-86,Jakarta Barat,DKI Jakarta</t>
  </si>
  <si>
    <t>00161.01.02944.09.1.0626</t>
  </si>
  <si>
    <t>Irradiator (Tingkat I, II dan III)</t>
  </si>
  <si>
    <t>Blood iradiator dengan nomor KTUN 021804.258.11.250121 sudah habis masa berlaku izinnnya pada 24 Januari 2026.</t>
  </si>
  <si>
    <t>-Agar Pelaku Usaha melakukan perpanjangan izin untuk Blood Irradiator. Jika akan tetap digunakan pelaku usaha agar mengajukan katun penggunaan Iradiator Kategori I. Jika tidak akan menggunakan lagi, maka dapat mengajukan izin penyimpanan sementara zat radioaktif dan dapat berkoordinasi dengan vendor atau BRIN untuk proses pelimbahan. &lt;br /&gt;
 &lt;br /&gt;
 Untuk menutup temuan, surat komitmen dari pimpinan untuk melakukan perpanjangan izin sebagai Tindak Lanjut Hasil Inspeksi &lt;br&gt;</t>
  </si>
  <si>
    <t>Contemporary Amperex Technology Indonesia</t>
  </si>
  <si>
    <t>Sopo Del Office Towers &amp; Lifestyle Tower A Lantai 22, Jl. Mega Kuningan Barat III Lot. 10 1-6, Desa/Kelurahan Kuningan Timur, Kec. Setiabudi</t>
  </si>
  <si>
    <t>Sopo Del Office Towers &amp; Lifestyle Tower A Lantai 22, Jl. Mega Kuningan Barat III Lot. 10 1-6, Desa/Kelurahan Kuningan Timur, Kec. Setiabudi,Jakarta Selatan,DKI Jakarta</t>
  </si>
  <si>
    <t>00184.01.16292.14.1.0726</t>
  </si>
  <si>
    <t>Ekspor/Impor PRP</t>
  </si>
  <si>
    <t>Pesawat sinar-X merk Comet Yxlon tipe Cougar ECO dengan nomor seri 2072292 yang diimpor untuk digunakan sendiri di lokasi pemanfaatan Karawang, Jawa Barat, belum memiliki izin pemanfaatan.</t>
  </si>
  <si>
    <t>-Pelaku Usaha wajib mengajukan permohonan izin pemanfaatan dengan lokasi pemanfaatan Karawang, Jawa Barat.&lt;br&gt;</t>
  </si>
  <si>
    <t>KTUN_Izin Pemanfaatan UTR_PT CATI</t>
  </si>
  <si>
    <t>Central Mega Kencana</t>
  </si>
  <si>
    <t>Synthesis Tower Building II Lt. 9, 10 Unit A, B, C Jl. Jend. Gatot Soebroto Kav. 64 No. 177A, Kelurahan Menteng Dalam, Kec. Tebet</t>
  </si>
  <si>
    <t>Synthesis Tower Building II Lt. 9, 10 Unit A, B, C Jl. Jend. Gatot Soebroto Kav. 64 No. 177A, Kelurahan Menteng Dalam, Kec. Tebet,Jakarta Selatan,DKI Jakarta</t>
  </si>
  <si>
    <t>00183.01.16062.08.1.0726</t>
  </si>
  <si>
    <t>Terdapat 1 (satu) pesawat sinar-X merk Pureray Instrument dengan instrument model Gold SDD MC, instrument ID MF719UC9A02 yang digunakan, namun belum memiliki izin pemanfaatan (dibeli dari PT. Sartotech Indonesia) sejak Maret 2026.</t>
  </si>
  <si>
    <t>-Pelaku Usaha mengajukan permohonan perubahan izin untuk penambahan pesawat sinar-X baru model Gold SDD MC, instrument ID MF719UC9A02 melalui BALIS. &lt;br&gt;-Pelaku Usaha mengajukan permohonan perubahan izin untuk perubahan lokasi pemanfaatan 21 unit SRP, agar disesuaikan dengan kondisi sebenarnya yaitu digunakan pada 19 lokasi pemanfaatan.&lt;br&gt;</t>
  </si>
  <si>
    <t>RSUD. KH. Muhammad Thohir Krui</t>
  </si>
  <si>
    <t>Jl. Atar Sedangkek Way Suluh Kec. Krui Selatan</t>
  </si>
  <si>
    <t>Jl. Atar Sedangkek Way Suluh Kec. Krui Selatan,Pesisir Barat,Lampung</t>
  </si>
  <si>
    <t>00215.01.11786.01.1.0726</t>
  </si>
  <si>
    <t>Nusa Tenggara Barat</t>
  </si>
  <si>
    <t>2026-07-06 s/d 2026-07-11</t>
  </si>
  <si>
    <t>Terdapat 1 (satu) Pesawat Sinar-X Radiografi Umum (Terpasang Tetap) Merk Unit Toshiba, Tipe Unit MRAD-A32S, No Seri Unit G5A1762033, Merk Tabung Toshiba, Tipe Tabung DR1603, No Seri Tabung 7D1113, Kondisi Maksimum 150 kV / 500 mA yang belum memiliki izin pemanfaatan. (dikarenakan pindah alamat)</t>
  </si>
  <si>
    <t>-Pelaku Usaha agar segera mengajukan permohonan izin pemanfaatan untuk pesawat tersebut melalui sistem OSS yang terintegrasi dengan Balis 2.5 BAPETEN. &lt;br /&gt;
 &lt;br /&gt;
 Unggah KTUN Izin pemanfaatan yang telah terbit untuk pemanfaatan pesawat sinar-X tersebut melalui menu TLHI (Tindak Lanjut Hasil Inspeksi) di Sistem Balis Infara (https://balis-infara.bapeten.go.id) sebagai bukti tindak lanjut hasil inspeksi. &lt;br&gt;</t>
  </si>
  <si>
    <t>Telah terbit izin radiologi diagnostik dan atau intervensional nomer 10154.608.1.180826, tanggal 18 agustus 2026</t>
  </si>
  <si>
    <t>RSUD. Kab. Pesawaran</t>
  </si>
  <si>
    <t>Jl.Raya Kedondong Desa Suka Marga, Kec.Gedung Tataan</t>
  </si>
  <si>
    <t>Jl.Raya Kedondong Desa Suka Marga, Kec.Gedung Tataan,Pesawaran,Lampung</t>
  </si>
  <si>
    <t>00214.01.10549.01.1.0726</t>
  </si>
  <si>
    <t>- Terdapat KTUN yang masih berlaku dengan nomor: 14631.384.3.251224 berlaku sampai dengan 15 November 2027.
 - Tidak memiliki izin penyimpanan sementara untuk Pesawat Sinar-X Radiografi Umum (Mobile) Merk Alerio, Tipe Smart 4000, Tipe Tabung KL100.6/1.8-125, No Seri Tabung MK01081 dalam kondisi rusak dan tidak dapat dipergunakan. Pesawat Sinar-X ini akan dilakukan perbaikan.</t>
  </si>
  <si>
    <t>-Pelaku usaha agar mengajukan izin penyimpanan sementara terhadap pesawat sinar-x tersebut. &lt;br /&gt;
 &lt;br /&gt;
 Untuk menutup temuan, unggah KTUN izin penyimpanan sementara pesawat sinar-x tersebut melalui menu TLHI (Tindak Lanjut Hasil Inspeksi) di Sistem Balis Infara (https://balisinfara.bapeten.go.id) sebagai bukti tindak lanjut hasil inspeksi.&lt;br&gt;</t>
  </si>
  <si>
    <t>KTUN terbaru</t>
  </si>
  <si>
    <t>RSUD Dr. A. Dadi Tjokrodipo</t>
  </si>
  <si>
    <t>Jl. Basuki Rahmat no. 73 Sumur Putri,Teluk Betung Utara- Bandar Lampung</t>
  </si>
  <si>
    <t>Jl. Basuki Rahmat no. 73 Sumur Putri,Teluk Betung Utara- Bandar Lampung,Bandar Lampung,Lampung</t>
  </si>
  <si>
    <t>00212.01.07556.01.1.0726</t>
  </si>
  <si>
    <t>- Terdapat sebuah Pesawat Sinar-X Radiografi Umum (Terpasang Tetap) Merk Unit: Villa Sistemi Medicali, Tipe Unit: G100C RAD, No Seri Unit: J 0102556 H10, Merk Tabung: Villa Sistemi Medicali, Tipe Tabung: RTM 78H, No Seri Tabung: 81K018 dalam kondisi rusak dan tidak dapat dipergunakan. Pesawat Sinar-X ini akan dilakukan perbaikan. Tidak Mempunyai Izin Penyimpanan Sementara</t>
  </si>
  <si>
    <t>-Pelaku usaha agar mengajukan izin penyimpanan sementara terhadap pesawat sinar-x tersebut.&lt;br /&gt;
 &lt;br /&gt;
 &lt;br /&gt;
 Untuk menutup temuan, unggah KTUN izin penyimpanan sementara pesawat sinar-x tersebut melalui menu TLHI (Tindak Lanjut Hasil Inspeksi) di Sistem Balis Infara (https://balisinfara.bapeten.go.id)&lt;br /&gt;
 sebagai bukti tindak lanjut hasil inspeksi. &lt;br /&gt;
 &lt;br&gt;</t>
  </si>
  <si>
    <t>Nusa Tenggara Timur</t>
  </si>
  <si>
    <t>Semen Padang</t>
  </si>
  <si>
    <t>Jl. Raya Padang-Indarung</t>
  </si>
  <si>
    <t>Jl. Raya Padang-Indarung,Padang,Sumatera Barat</t>
  </si>
  <si>
    <t>00217.01.03107.08.1.0726</t>
  </si>
  <si>
    <t>Dari hasil inspeksi di lapangan ditemukan, 4 (empat) PRP tidak memiliki izin status rusak, tidak digunakan :
 1. Smiths Heimann (PRP) tipe tabung 7400.S, No seri tabung MachlettOEG.75H26139p1
 2. 2. Rigaku (PRP) Simultik tipe tabung 3530, No seri tabung MachlettP.72532
 3. Smiths Heimann (PRP) tipe tabung 677TCA, No seri tabung 57822 P8
 4. ARL (PRP), tipe tabung 9800 XP, No seri tabung 327-2003</t>
  </si>
  <si>
    <t>-Dilarang menggunakan Sumber Radiasi Pengion (SRP) tanpa izin.&lt;br /&gt;
 &lt;br /&gt;
 PT Semen Padang untuk mengajukan penambahan 2 (dua) PRP tersebut melalui Balis Perizinan 2.5 dengan mencantumkan peralatan sebagaimana disebutkan dalam uraian temuan.&lt;br /&gt;
 Untuk menutup temuan, unggah KTUN Rekomendasi Izin pemanfaatan yang telah mencantumkan peralatan tersebut pada menu TLHI (Tindak Lanjut Hasil Inspeksi) Balis Infara (https://balis-infara.bapeten.go.id) sebagai bukti tindak&lt;br /&gt;
 lanjut hasil inspeksi.&lt;br /&gt;
 &lt;br&gt;-PT Semen Padang mengajukan penonaktifan untuk 4 (empat) PRP yang tidak memiliki izin, status rusak, tidak digunakan, melalui email ke difrzr@bapeten.go.id sampai terbit Surat Keputusan Penonaktifan SRP dari Direktorat Inspeksi FRZR dengan beberapa kelengkapan sebagai berikut:&lt;br /&gt;
 a. Surat Permohonan Penonaktifan SRP yang ditandatangani Direktur&lt;br /&gt;
 b. Berita Acara penanganan akhir pesawat sinar-X.&lt;br /&gt;
 &lt;br /&gt;
 Untuk menutup temuan, unggah surat penonaktifan pesawat sinar-x yang diterbitkan oleh Direktorat Inspeksi FRZR melalui menu TLHI (Tindak Lanjut Hasil Inspeksi) di Sistem BALIS INFARA (https://balis infara.bapeten.go.id)&lt;br /&gt;
 sebagai bukti tindak lanjut hasil inspeksi.&lt;br /&gt;
 &lt;br&gt;-PT Semen Padang agar:&lt;br /&gt;
 1. Untuk PRP yang tidak akan digunakan kembali dengan kondisi izin berakhir dan alat rusak agar mengajukan penetapan penghentian PRP melalui email ke dpfrzr@bapeten.go.id sampai terbit Surat Keputusan Penetapan penghentian PRP dari Direktorat Perizinan FRZR dengan beberapa kelengkapan sebagai berikut:&lt;br /&gt;
 a. Surat Permohonan Penonaktifan SRP yang ditandatangani Direktur&lt;br /&gt;
 b. Berita Acara penanganan akhir pesawat sinar-X.&lt;br /&gt;
 &lt;br /&gt;
 2. Untuk PRP yang akan digunakan kembali dengan kondisi izin berakhir dan alat rusak agar mengajukan penyimpanan sementara PRP melalui OSS.&lt;br /&gt;
 &lt;br /&gt;
 Untuk menutup temuan, unggah surat penetapan penghentian dan / atau penyimpanan sementara pesawat sinar-x yang diterbitkan oleh Direktorat Perizinan FRZR melalui menu TLHI (Tindak Lanjut Hasil Inspeksi) di Sistem BALIS INFARA (https://balis infara.bapeten.go.id)&lt;br /&gt;
 sebagai bukti tindak lanjut hasil inspeksi.&lt;br /&gt;
 &lt;br&gt;</t>
  </si>
  <si>
    <t>RSUP Dr. M. Djamil Padang</t>
  </si>
  <si>
    <t>Jln. Perintis Kemerdekaan</t>
  </si>
  <si>
    <t>Jln. Perintis Kemerdekaan,Padang,Sumatera Barat</t>
  </si>
  <si>
    <t>00178.01.01360.11.1.0726</t>
  </si>
  <si>
    <t>Penelitian/Kalibrasi</t>
  </si>
  <si>
    <t>Terdapat 2 Zat Radioaktif yang tidak memiliki izin :
 • Cs-137 Source No. : 8400-25-40 untuk dose calibrator, digunakan Januari 2026
 • Cs-137 Source No. : 2508-91 untuk TLC Radiofarmaka, digunakan Agustus 2025</t>
  </si>
  <si>
    <t>-Dilarang Menggunakan zat radioaktif Tanpa izin&lt;br /&gt;
 &lt;br /&gt;
 RSUP Dr. M. Djamil Padang mengajukan :&lt;br /&gt;
 Permohonan Perubahan Izin Pemanfaatan melalui Balis Perizinan 2.5 dengan menambahkan zat radioaktif tersebut tersebut hingga terbit izin zat radioaktif tersebut&lt;br /&gt;
 &lt;br /&gt;
 Unggah KTUN izin terbaru dari Balis 2.5 yang sudah menambahkan zat radioaktif tersebut, melalui menu TLHI (Tindak Lanjut Hasil Inspeksi) di Sistem Balis Infara (https://balis-infara.bapeten.go.id) sebagai bukti tindak lanjut hasil inspeksi.&lt;br&gt;-RSUP Dr. M. Djamil Padang harus mengajukan surat komitmen yang ditandatangani Direktur RSUP Dr. M. Djamil Padang untuk melakukan pelimbahan zat radioaktif (dapat direeksport atau melakukan pelimbahan ke PTLR -BRIN, disesuaikan dengan kontrak kerja) sesuai dengan ketentuan BAPETEN&lt;br /&gt;
 &lt;br /&gt;
 Untuk menutup temuan agar mengunggah surat komitmen RSUP Dr. M. Djamil Padang untuk melakukan pelimbahan zat radioaktif yang ditandatangani Direktur RSUP Dr. M. Djamil Padang tersebut ke dalam sistem Balis Infara (https://balis-infara.bapeten.go.id) sebagai bukti tindak lanjut hasil inspeksi.&lt;br&gt;</t>
  </si>
  <si>
    <t>00175.01.01360.01.1.0726</t>
  </si>
  <si>
    <t>Kalimantan Barat</t>
  </si>
  <si>
    <t>Terdapat 10 (Sepuluh) Alat Radiologi Diagnostik Dan Intervensional tidak memiliki izin dalam kondisi Rusak dan tidak digunakan, 7 alat tidak diketahui keberadaannya dan 3 alat berada di Gudang/Afkir Penyimpanan Radiologi dan akan dilakukan penonaktifan :
 1. Blue X (PRP) tipe tabung Pantos DG XP, NO seri tabung BPTN-55638
 2. GE (PRP) tipe tabung 110/3 DF, No seri tabung 142966HL1
 3. (PRP) tipe tabung OPX/105, No seri tabung 2910XK1669 85
 4. GE (PRP), Tipe tabung EM5H-3P-S148-SFT 1683, No seri tabung A.100-01-1713-0-160
 5. GE (PRP) tipe tabung 46274891G1, No seri tabung 113530BI0xyz
 6. Hitachi (PRP) Tipe tabung U-6C-55T, No seri tabung K23357
 7. Hitachi (PRP) Tipe tabung U-6C-53P, No seri tabung
 8. Multix (PRP) tipe tabung 48007936-0865 No seri tabung 40606 S06 D
 9. Orthopantomograph Panoramic, No seri tabung 349340
 10. Shimadzu (PRP), Tipe tabung 133 -400, No. Seri tabung 11353</t>
  </si>
  <si>
    <t>-RSUP Dr. M. Djamil Padang mengajukan penonaktifan pesawat sinar-x yang tidak memiliki izin dan tidak digunakan, melalui email ke difrzr@bapeten.go.id sampai terbit Surat Keputusan Penonaktifan SRP dari Direktorat Inspeksi FRZR dengan beberapa kelengkapan sebagai berikut:&lt;br /&gt;
 a. Surat Permohonan Penonaktifan SRP yang ditandatangani Direktur&lt;br /&gt;
 b. Berita Acara penanganan akhir pesawat sinar-X.&lt;br /&gt;
 &lt;br /&gt;
 Untuk menutup temuan, unggah surat penonaktifan pesawat sinar-x yang diterbitkan oleh Direktorat Inspeksi FRZR melalui menu TLHI (Tindak Lanjut Hasil Inspeksi) di Sistem BALIS INFARA (https://balis-infara.bapeten.go.id) sebagai bukti tindak lanjut hasil inspeksi.&lt;br&gt;-RSUP Dr. M. Djamil Padang mengajukan penetapan penghentian pesawat sinar-x yang tidak digunakan, status izin berakhir, melalui email ke dpfrzr@bapeten.go.id sampai terbit surat keputusan penetapan penghentian SRP dari Direktorat Perizinan FRZR dengan beberapa kelengkapan sebagai berikut:&lt;br /&gt;
 a. Surat Permohonan Penonaktifan SRP yang ditandatangani Direktur&lt;br /&gt;
 b. Berita Acara penanganan akhir pesawat sinar-X.&lt;br /&gt;
 &lt;br /&gt;
 Untuk menutup temuan, unggah surat penonaktifan pesawat sinar-x yang diterbitkan oleh Direktorat Inspeksi FRZR melalui menu TLHI (Tindak Lanjut Hasil Inspeksi) di Sistem BALIS INFARA (https://balis-infara.bapeten.go.id) sebagai bukti tindak lanjut hasil inspeksi.&lt;br&gt;-Agar RSUP Dr. M. Djamil Padang membuat :&lt;br /&gt;
 1. Surat komitmen dari manajemen untuk memastikan perbaikan jika akan digunakan kembali atau mengajukan pengurangan sumber di balis 2.5 jika tidak digunakan kembali untuk alat Radiografi Umum Mobile DR-GEM Radiographic X-Ray System, tipe tabung MobileTOPAZ, No seri tabung40DDRR2040258AM2004231.&lt;br /&gt;
 2. Melakukan pengukuran paparan radiasi pada daerah kerja pesawat setelah selesai perbaikan&lt;br /&gt;
 &lt;br /&gt;
 Untuk menutup temuan, unggah surat komitmen tersebut, melalui menu TLHI (Tindak Lanjut Hasil Inspeksi) di Sistem Balis Infara (https://balis-infara.bapeten.go.id) sebagai bukti tindak lanjut hasil inspeksi.&lt;br&gt;-RSUP Dr. M. Djamil Padang harus mengajukan perubahan izin dengan:&lt;br /&gt;
 a. Menambahkan data tabung Cathlab baru (Jenis Pesawat : FLUOROSKOPI [C-Arm] Merek Tabung : Philips Model Tabung : MRC2000407 Nomor Seri Tabung : 412907) dan;&lt;br /&gt;
 b. Melakukan pengurangan sumber data tabung (Pesawat Sinar-X Fluoroskopi (C-arm Angiografi) Philips XPer FD20 2058, tipe tabung MRC 200 0407 ROT-GS 1004, No seri tabung 199444)&lt;br /&gt;
 &lt;br /&gt;
 Untuk menutup temuan agar mengunggah izin baru yang mencantumkan data tabung fluoroskopi baru ke dalam sistem Balis Infara (https://balis-infara.bapeten.go.id) sebagai bukti tindak lanjut hasil inspeksi.&lt;br&gt;</t>
  </si>
  <si>
    <t>Departemen Fisika, Fakultas Matematika dan Ilmu Pengetahuan Alam, Universitas Gadjah Mada</t>
  </si>
  <si>
    <t>Sekip Unit III</t>
  </si>
  <si>
    <t>Sekip Unit III,Yogyakarta,Daerah Istimewa Yogyakarta</t>
  </si>
  <si>
    <t>00238.01.09306.11.1.0726</t>
  </si>
  <si>
    <t>2026-07-20 s/d 2026-07-24</t>
  </si>
  <si>
    <t>1. Terdapat 1 (satu) unit Pesawat Sinar-X untuk kegiatan Analisis yang masih digunakan namun tidak memiliki izin, yaitu: Shimadzu Tipe Unit: XRD-6000 (PW2253/20), No. Seri Unit: Q303-39000251 (DK 282623), Tipe Tabung: XRD-6000 (PW2253/20), No. Seri Tabung: Q303-39000251(DK282623) sebelumnya tercantum dalam KTUN Izin Pemanfaatan No. 074588.017.11.050418 telah habis masa berlaku izinnya tanggal 04 April 2021.
 2. Terdapat 5 (lima) Zat Radioaktif yang belum memiliki izin yaitu: 
 a. Co-57, No. Seri: CO57S10 (10 uCi pada Juli 2023);
 b. Tl-204, No.seri: TL204S10 (10 uCi pada Juli 2023);
 c. Co-60, No. seri: CO60S1 (1 uCi pada Juli 2023);
 d. Cs-137, No. seri: CS137S10 (10 uCi pada Juli 2023);
 e. Na-22, No. seri: NA22S10 (10 uCi pada Juli 2023);</t>
  </si>
  <si>
    <t>-Pihak Instansi agar segera mengajukan perubahan izin terkait penambahan Sumber Radiasi Pengion untuk 1 (satu) unit Pembangkit Radiasi Pengion dan 5 (lima) buah Zat Radioaktif melalui Balis Perizinan 2.5. &lt;br /&gt;
 &lt;br /&gt;
 Unggah KTUN Izin Pemanfaatan tersebut melalui menu TLHI (Tindak Lanjut Hasil Inspeksi) di Sistem BALIS INFARA (https://balis-infara.bapeten.go.id) sebagai bukti tindak lanjut hasil inspeksi.&lt;br /&gt;
 &lt;br /&gt;
 &lt;br&gt;</t>
  </si>
  <si>
    <t>Semen Jawa</t>
  </si>
  <si>
    <t>Jl. Pelabuhan 2 KM 11, Talagasari, Desa Sirnaresmi, Kec. Gunungguruh</t>
  </si>
  <si>
    <t>Jl. Pelabuhan 2 KM 11, Talagasari, Desa Sirnaresmi, Kec. Gunungguruh,Sukabumi,Jawa Barat</t>
  </si>
  <si>
    <t>00236.01.08544.08.1.0726</t>
  </si>
  <si>
    <t>Kalimantan Tengah</t>
  </si>
  <si>
    <t>Terdapat 1 (satu) zat radioaktif H-3 di area produksi yang akan dioperasikan kembali. Data zat radioaktif sebagai berikut
 - Isotop: H-3
 - Tipe: MEN16LL
 - Nomor seri: M1632</t>
  </si>
  <si>
    <t>-Mengajukan permohonan izin baru untuk zat radioaktif H-3 melalui OSS dengan memilih lingkup Pengukuran (gauging) dengan memenuhi persyataran perizinan yang berlaku.&lt;br /&gt;
 &lt;br /&gt;
 Untuk menutup temuan, unggah KTUN terbaru melalui menu TLHI pada sistem Balis Infara 2.0 https://balis-infara.bapeten.go.id/ sebagai bukti tindak lanjut hasil inspeksi.&lt;br /&gt;
 &lt;br&gt;-Mengajukan perubahan izin analisis karena adanya perubahan data tabung x-ray.&lt;br /&gt;
 &lt;br /&gt;
 Untuk menutup temuan, unggah KTUN terbaru melalui menu TLHI pada sistem Balis Infara 2.0 https://balis-infara.bapeten.go.id/ sebagai bukti tindak lanjut hasil inspeksi.&lt;br /&gt;
 &lt;br&gt;</t>
  </si>
  <si>
    <t>Pengajuan iin dalam prosesProses registrasi tabung SRP (untuk XRD) baruPenggantian izin dan registrasi tabung masih dalam proses karena pengajuan harus dilakukan oleh akun admin sedangkan per tahun 2024 akun admin PT Seman Jawa sudah expired.</t>
  </si>
  <si>
    <t>BLU Rumkit Tk. IV Salak Bogor</t>
  </si>
  <si>
    <t>Jl. Sudirman No. 9</t>
  </si>
  <si>
    <t>Jl. Sudirman No. 9,,Seluruh Indonesia</t>
  </si>
  <si>
    <t>00231.01.04403.01.1.0726</t>
  </si>
  <si>
    <t>Terdapat 2 (dua) pesawat sinar-x dari KSO dengan PT Nasyahla Hakato Malindo yang belum ada KTUN izin, dengan data sebagai berikut
 a. Merk Mednif, tipe tabung XD4-2.9/100, nomor seri tabung insersi: 1075
 b. Merk Iray portable digital, tipe: (data tidak tersedia), nomor seri: (data tidak tersedia)</t>
  </si>
  <si>
    <t>-Dilarang mengoperasikan pesawat sinar-x tanpa memiliki KTUN izin pemanfaatan dari BAPETEN. Segera mengajukan perubahan izin untuk menambahkan 2 (dua) pesawat sinar-x yang belum masuk di dalam KTUN izin dengan memenuhi persyaratan yang berlaku.&lt;br /&gt;
 &lt;br /&gt;
 Untuk menutup temuan, unggah KTUN terbaru melalui menu TLHI pada sistem Balis Infara 2.0 https://balis-infara.bapeten.go.id/ sebagai bukti tindak lanjut hasil inspeksi.&lt;br /&gt;
 &lt;br&gt;-Mengajukan perubahan KTUN izin untuk mengurangi data sumber radias pengion yang dalam kondisi rusak.&lt;br /&gt;
 &lt;br /&gt;
 Untuk menutup temuan, unggah KTUN terbaru melalui menu TLHI pada sistem Balis Infara 2.0 https://balis-infara.bapeten.go.id/ sebagai bukti tindak lanjut hasil inspeksi.&lt;br /&gt;
 &lt;br&gt;</t>
  </si>
  <si>
    <t>Bina Ilma Husada</t>
  </si>
  <si>
    <t>Jl. Raya Cisaat No. 595, Rt. 25/06, Cibatu, Cisaat</t>
  </si>
  <si>
    <t>Jl. Raya Cisaat No. 595, Rt. 25/06, Cibatu, Cisaat,Sukabumi,Jawa Barat</t>
  </si>
  <si>
    <t>00226.01.08180.01.1.0726</t>
  </si>
  <si>
    <t>Kalimantan Selatan</t>
  </si>
  <si>
    <t>Terdapat PRP baru belum dioperasikan dan belum tercantum dalam KTUN, yaitu
 1. Pesawat C-Arm merk: GE; tipe: OEC One ASD; no. seri: BBASB2600180HL; tipe tabung: KL188SBR-0.6/1.2-125; no. seri tabung: 0004175HL6</t>
  </si>
  <si>
    <t>-Mengajukan perubahan izin/KTUN untuk menambahkan data pesawat sinar-x baru dengan memenuhi persyaratan yang berlaku.&lt;br /&gt;
 &lt;br /&gt;
 Untuk menutup temuan, unggah KTUN terbaru melalui menu TLHI pada sistem Balis Infara 2.0 https://balis-infara.bapeten.go.id/ sebagai bukti tindak lanjut hasil inspeksi.&lt;br /&gt;
 &lt;br&gt;</t>
  </si>
  <si>
    <t>sedang proses pengajuan izin alat C-ARM, hasil evaluasi sampai tanggal 31 agustus 2026</t>
  </si>
  <si>
    <t>Servita Dinamika Mandiri</t>
  </si>
  <si>
    <t>Project EPC Pembangunan TBBM dan Submarine Pipeline Tanjung Batu</t>
  </si>
  <si>
    <t>Project EPC Pembangunan TBBM dan Submarine Pipeline Tanjung Batu,Balikpapan,Kalimantan Timur</t>
  </si>
  <si>
    <t>00224.01.13648.06.1.0726</t>
  </si>
  <si>
    <t>Terdapat 1 SRP belum dimasukkan dalam izin Uji Tak Rusak, yaitu Pesawat Sinar-X Portabel tipe: MR-301 E, no. seri: 316244</t>
  </si>
  <si>
    <t>-Mengajukan perubahan izin dengan memasukkan pesawat sinar-x portabel tipe MR-301 E, no. Seri 316244.&lt;br /&gt;
 &lt;br /&gt;
 Untuk menutup temuan, unggah KTUN terbaru melalui menu TLHI pada sistem Balis Infara 2.0 https://balis-infara.bapeten.go.id/ sebagai bukti tindak lanjut hasil inspeksi.&lt;br /&gt;
 &lt;br&gt;</t>
  </si>
  <si>
    <t>Sudah menambahkan izin pemanfaatan X-Ray dengan nomer KTUN : 08850.741.3.220726 tanggal pengesahan 22 Juli 2026, untuk Xray dengan Merk Eresco, Type MIR-301 E, Nomor Seri Tube : 316244.</t>
  </si>
  <si>
    <t>Direktorat Perlindungan Tanaman Pangan Balai Pengujian Mutu Produk Tanaman</t>
  </si>
  <si>
    <t>Jl. AUP Pasar Minggu, Kotak Pos 7236</t>
  </si>
  <si>
    <t>Jl. AUP Pasar Minggu, Kotak Pos 7236,Jakarta Selatan,DKI Jakarta</t>
  </si>
  <si>
    <t>00180.01.05971.08.1.0726</t>
  </si>
  <si>
    <t>2026-07-06 s/d 2026-07-10</t>
  </si>
  <si>
    <t>Kalimantan Timur</t>
  </si>
  <si>
    <t>Ijin analisis pembangkit radiasi pengion masih berlaku, namun peralatan sudah rusak sejak tahun 2024 dan tidak akan digunakan lagi. No. Izin 08662.402.1.071222.</t>
  </si>
  <si>
    <t>-Pihak instansi agar mengurangi data sumber radiasi pengion di izin nomor 08662.402.1.071222 dengan mengajukan permohonan perubahan pengurangan SRP di Balis.&lt;br /&gt;
 &lt;br /&gt;
 Untuk menutup temuan tersebut, unggah dokumen yang dimaksud ke BAPETEN melalui menu TLHI (Tindak Lanjut Hasil Inspeksi) pada Sistem Balis Infara (https://balis-infara.bapeten.go.id) sebagai bukti tindak lanjut hasil inspeksi.&lt;br&gt;</t>
  </si>
  <si>
    <t>BPMPT telah menindaklanjuti temuan dengan membuat surat permohonan pengurangan/penghapusan SRP dengan nomor izin 08662.402.1.071222</t>
  </si>
  <si>
    <t>Radar Akurasi Laboratorium</t>
  </si>
  <si>
    <t>Jl. Bromo No. 65, Tegal Sari III, Medan Area</t>
  </si>
  <si>
    <t>Jl. Bromo No. 65, Tegal Sari III, Medan Area,Medan,Sumatera Utara</t>
  </si>
  <si>
    <t>00242.01.16857.06.1.0726</t>
  </si>
  <si>
    <t>Kalimantan Utara</t>
  </si>
  <si>
    <t>Memiliki 1 unit kamera radiografi dengan identitas merk Sentinel tipe 880 Delta No. Seri D13997
 dengan ZRA Ir-192 Tipe LIR-05/008 No. Seri AI296 (ZZ196) Aktivitasv16,9 (14 July 2026).
 Tidak memiliki persetujuan pengiriman multilokasi untuk lokasi proyek sesuai dengan KTUN Pemanfaatan.</t>
  </si>
  <si>
    <t>-Pelaku Usaha agar mengajukan persetujuan pengiriman multilokasi untuk lokasi proyek sesuai dengan KTUN Pemanfaatan.&lt;br /&gt;
 &lt;br /&gt;
 Untuk menutup temuan, unggah bukti KTUN persetujuan pengiriman melalui menu TLHI (Tindak Lanjut Hasil Inspeksi) di Sistem Balis Infara (https://balis-infara. bapeten.go.id) sebagai bukti tindak lanjut hasil inspeksi,&lt;br&gt;</t>
  </si>
  <si>
    <t>BPTN-KTUN-08400.741.3.140726_133751Persetujuan Pengiriman Zat Radioaktif untuk Keperluan Selain Medik (Industri) Multi Lokasi</t>
  </si>
  <si>
    <t>Gintam Inspeksi Tehnik</t>
  </si>
  <si>
    <t>PT. Super Andalas Steel, Jl. KL Yos Sudarso Km. 9, MABAR, Kec Medan Deli</t>
  </si>
  <si>
    <t>Sulawesi Utara</t>
  </si>
  <si>
    <t>PT. Super Andalas Steel, Jl. KL Yos Sudarso Km. 9, MABAR, Kec Medan Deli,Medan,Sumatera Utara</t>
  </si>
  <si>
    <t>00223.01.12990.06.1.0726</t>
  </si>
  <si>
    <t>Memiliki 2 unit kamera radiografi dengan identitas Sentinel 880 Delta D14112 N dan Sentinel 880 Delta D15528..
 - Untuk kamera radiografi Sentinel 880 Delta D14112 N dengan ZRA Ir-192 Tipe IR3HCT No. Seri HCE223 (PL-4409) Aktivitas 3330 GBq/2026-02-27.
 - Untuk kamera radiografi Sentinel 880 Delta D15528. yang masih dalam proses pengisian ZRA baru di PT. Berkat Jaya Mayandra
 Tidak memiliki persetujuan pengiriman multilokasi untuk lokasi proyek sesuai dengan KTUN Pemanfaatan.</t>
  </si>
  <si>
    <t>-Pelaku usaha agar mengajukan persetujuan pengiriman untuk masing-masing ZRA/Kamera sesuai dengan lokasi pemanfaatan (multilokasi) karena pengiriman melalui jalan umum untuk masyarakat.&lt;br /&gt;
 &lt;br /&gt;
 Untuk menutup temuan, unggah bukti KTUN persetujuan pengiriman melalui menu TLHI (Tindak Lanjut Hasil Inspeksi) di Sistem Balis Infara (https://ba1is-infara.bapeten.go.id) sebagai bukti tindak lanjut hasil inspeksi.&lt;br&gt;-Agar melanjutkan proses permohonan izin dengan no. registrasi 117653.26 \untuk ZRA Ir-192, Tipe IR3HCT, No. Seri HCE588(PL-4545), Aktivitas 3330 GBq /2026-07-09 untuk kamerea Sentinel 880 Delta D15528 sampai dengan terbit. &lt;br /&gt;
 &lt;br /&gt;
 Untuk menutup temuan, unggah bukti KTUN terbaru yang mencantumkan identitas SRP sesuai dengan pengajuan pada No. Registrasi 117653.26 menu TLHI (Tindak Lanjut Hasil Inspeksi) di Sistem Balis Infara (https://ba1is-infara.bapeten.go.id) sebagai bukti tindak lanjut hasil inspeksi.&lt;br /&gt;
 &lt;br&gt;-Pelaku usaha mengajukan perubahan data izin agar alamat yang tercantum dalam izin sesuai dengan yang ada di lokasi.&lt;br /&gt;
 &lt;br /&gt;
 Untuk menutup temuan, unggah bukti KTUN izin pemanfaatan terbaru melalui menu TLHI (Tindak Lartjut Hasil Inspeksi) di Sistem Balis Infara (https://ba1is-infara.bapeten.go.id) sebagai bukti tindak lanjut hasil inspeksi.&lt;br&gt;</t>
  </si>
  <si>
    <t>berikut kami kirimkan bukti KATUN Pemanfaatan kedua sumber beserta persetujuan pengiriman multilokasinya
 ZRA Ir-192 Tipe IR3HCT No. Seri HCE223 (PL-4409) dan ZRA Ir-192, Tipe IR3HCT, No. Seri HCE588(PL-4545)</t>
  </si>
  <si>
    <t>Angkasa Pura Indonesia (d/h. Angkasa Pura II)</t>
  </si>
  <si>
    <t>Bandara Udara Soekarno Hatta, Gedung 600, Kelurahan Pajang, Kecamatan Benda</t>
  </si>
  <si>
    <t>Bandara Udara Soekarno Hatta, Gedung 600, Kelurahan Pajang, Kecamatan Benda,Tangerang,Banten</t>
  </si>
  <si>
    <t>00221.01.03448.20.1.0726</t>
  </si>
  <si>
    <t>Terdapat 6 (empat) unit SRP (pemindai bagasi) yang digunakan di lokasi.
 Terdapat 4 (empat) unit SRP yang belum memiliki izin:
 a. RAPISCAN, Tipe: 632DV, SN.Unit: 6192216.
 b. RAPISCAN, Tipe: 620 DV, SN.Unit: 6191437; SN. Tabung: PC85/PA3472
 c. Smiths Detection, Tipe: HS 100100 T-2IS, SN.Unit: 148616; SN. Tabung: 006622/006294
 d. Smiths, Tipe: HS 100100 T-2IS, SN.Unit: 148617; SN. Tabung: 006614/006604 (Kondisi Rusak)
 Terdapat 2 (dua) unit SRP yang masuk dalam izin 03758.403.1.220424 berlaku s.d. 21 April 2029:
 a. Smiths Detection; Tipe: Hi-Ray 10; SN.Unit: 147761; SN.Tabung: 85297(SM161714543)/85458(SM161714543)
 b. Smiths Detection; Tipe: Hi-Ray 10 HK; SN.Unit: 148615; SN.Tabung: 006601(HM071705002)/006620(HM071705004)</t>
  </si>
  <si>
    <t>-Pelaku Usaha agar melakukan perubahan data izin dengan menambahkan alat yang digunakan dan belum memiliki izin dengan memenuhi persyaratan yang berlaku.&lt;br /&gt;
 &lt;br /&gt;
 Untuk menutup temuan, unggah bukti KTUN izin pemanfaatan terbaru melalui menu TLHI (Tindak l,anjut Hasil Inspeksi) diSistem Balis Infara t s balisinfara.bapeten.so.id) sebagai bukti tindak lanjut hasil inspeksi.&lt;br&gt;</t>
  </si>
  <si>
    <t>Sudah Pernah Mengajukan Izin di tahun 2025 tapi belum terverivikasi,mohon bisa di verifikasi dengan data yang sama</t>
  </si>
  <si>
    <t>Sampoerna Land</t>
  </si>
  <si>
    <t>Sampoerna Strategic Square, South Tower, Lantai Mezzanine, Jl. Jenderal Sudirman Kav.45-46</t>
  </si>
  <si>
    <t>Sampoerna Strategic Square, South Tower, Lantai Mezzanine, Jl. Jenderal Sudirman Kav.45-46,Jakarta Selatan,DKI Jakarta</t>
  </si>
  <si>
    <t>00250.01.08565.20.1.0826</t>
  </si>
  <si>
    <t>2026-08-10 s/d 2026-08-14</t>
  </si>
  <si>
    <t>Tidak memiliki izin :
 1. Gilardoni tipe FEP ME 536 nomor seri 068845015
 2. Gilardoni tipe FEP ME 536 nomor seri 057634694
 3. Smiths Detection tipe HS 5030si nomor seri 111302
 4. Smiths Detection tipe HS 5030si nomor seri 142742
 5. Smiths Detection tipe HS 5030si nomor seri 140348
 6. Smiths Detection tipe HS 5030si nomor seri 87092
 7. HikVision tipe HEXN-T1612HK nomor seri 6883936</t>
  </si>
  <si>
    <t>-Pelaku usaha segera mengajukan permohonan izin.&lt;br /&gt;
 &lt;br /&gt;
 Untuk menutup temuan unggah KTUN izin pemanfaatan pada menu TLHI (Tindak Lanjut Hasil Inspeksi) di Sistem Balis Infara (https://balis-infara.bapeten.go.id) sebagai bukti tindak lanjut hasil inspeksi.&lt;br&gt;-Pelaku usaha segera mengajukan permohonan izin.&lt;br /&gt;
 &lt;br /&gt;
 Jika pesawat sinar-x dalam kondisi rusak atau telah dikembalikan ke supplier maka mengajukan penonaktifan sumber radiasi pengion ke Direktorat Inspeksi Fasilitas Radiasi dan Zat Radioaktif melalui email difrzr@bapeten.go.id dengan melampirkan penanganan akhir pesawat sinar-x.&lt;br /&gt;
 &lt;br /&gt;
 Untuk menutup temuan unggah KTUN izin pemanfaatan atau penonaktifan sumber radiasi pengion pada menu TLHI (Tindak Lanjut Hasil Inspeksi) di Sistem Balis Infara (https://balis-infara.bapeten.go.id) sebagai bukti tindak lanjut hasil inspeksi.&lt;br&gt;-Pelaku usaha segera memberitahukan ke PT. Professtama Tehnik Cemerlang untuk segera mengambil kembali alat Merk Smart Detection tipe SmartScan 5030.&lt;br /&gt;
 &lt;br /&gt;
 Untuk menutup temuan unggah Berita Acara pengambilan pesawat sinar-x pada menu TLHI (Tindak Lanjut Hasil Inspeksi) di Sistem Balis Infara (https://balis-infara.bapeten.go.id) sebagai bukti tindak lanjut hasil inspeksi.&lt;br&gt;</t>
  </si>
  <si>
    <t>Gorontalo</t>
  </si>
  <si>
    <t>Pacific Place Jakarta</t>
  </si>
  <si>
    <t>Level B1, SCBD, Jl. Jend. Sudirman Kav. 52-53</t>
  </si>
  <si>
    <t>Level B1, SCBD, Jl. Jend. Sudirman Kav. 52-53,Jakarta Selatan,DKI Jakarta</t>
  </si>
  <si>
    <t>00247.01.07871.20.1.0826</t>
  </si>
  <si>
    <t>Pesawat sinar-x Smiths Detection tipe HS 5030si, No. Seri 83938 yang tercantum dalam izin 023623.3.125.00001.011112 tidak dapat ditelusuri.</t>
  </si>
  <si>
    <t>-Pelaku usaha agar melakukan penelusuran Pesawat sinar-x Smiths Detection tipe HS 5030si, No. Seri 83938. Jika Pesawat sinar-x tersebut dalam kondisi rusak atau telah dikembalikan ke supplier agar mengajukan penonaktifan sumber radiasi pengion ke Direktorat Inspeksi Fasilitas Radiasi dan Zat Radioaktif melalui email difrzr@bapeten.go.id.&lt;br /&gt;
 &lt;br /&gt;
 Untuk menutup temuan unggah surat penonaktifan sumber radiasi pengion melalui menu TLHI (Tindak Lanjut Hasil Inspeksi) di Sistem Balis Infara (https://balis-infara.bapeten.go.id) sebagai bukti tindak lanjut hasil inspeksi.&lt;br&gt;-Pelaku usaha agar melakukan penanganan akhir dan mengajukan penonaktifan sumber radiasi pengion ke Direktorat Inspeksi Fasilitas Radiasi dan Zat Radioaktif melalui email difrzr@bapeten.go.id dengan melampirkan bukti penangangan akhir pesawat sinar-x.&lt;br /&gt;
 &lt;br /&gt;
 Untuk menutup temuan unggah surat penonaktifan sumber radiasi pengion melalui menu TLHI (Tindak Lanjut Hasil Inspeksi) di Sistem Balis Infara (https://balis-infara.bapeten.go.id) sebagai bukti tindak lanjut hasil inspeksi.&lt;br&gt;-Pelaku usaha agar menyampaikan ke PT. Senjaya Solusi Sekurindo bahwa pesawat sinar-x Smiths Detection Tipe HS-6040C nomor seri 151977 tercantum dalam izin Global Arrow dan memastikan kepemilikan pesawat sinar-x tersebut. &lt;br /&gt;
 Hotel Ritz Carlton dilarang mengoperasikan pesawat sinar-x yang yang tidak terantum dalam izin untuk lokasi Hotel Ritz Carlton.&lt;br /&gt;
 &lt;br /&gt;
 Untuk menutup temuan unggah dokumen kepemilikan pesawat sinar-x Smiths Detection Tipe HS-6040C nomor seri 151977 melalui menu TLHI (Tindak Lanjut Hasil Inspeksi) di Sistem Balis Infara (https://balis-infara.bapeten.go.id) sebagai bukti tindak lanjut hasil inspeksi.&lt;br&gt;</t>
  </si>
  <si>
    <t>1. Kami sudah melakukan penelusuran kepada pihak vendor mengenai pesawat sinar X smith detection type HS5030si nomer seri 83938. hasil penelusuran tersebut kami tidak menemukan pesawat sinar X tersebut maka dari itu kami meminta kepada pihak BAPETEN untuk menonaktifkan pesawat tersebut. 
 2. Kami sudah mengirim email penonaktifan sinar X dengan type smith detector HS 5030si dengan sereal number 83938 kepada aamat email difrzr@bapeten.go.id
 3. Kami sudah melakukan komunikasi dengan PT. Senjaya dan menyatakan bahwa mesin yang kami sewa saat ini sebelumnya disewakan oleh PT. Senjaya kepada Global Arrow dan akan dilampirkan bukti pernyataan dari pihak Senjaya</t>
  </si>
  <si>
    <t>Eksgon Brother</t>
  </si>
  <si>
    <t>Jl. Malaka Merah III, Komplek Ruko Malaka Country Blok D-21</t>
  </si>
  <si>
    <t>Jl. Malaka Merah III, Komplek Ruko Malaka Country Blok D-21,Jakarta Timur,DKI Jakarta</t>
  </si>
  <si>
    <t>00244.01.08779.14.1.0826</t>
  </si>
  <si>
    <t>Kegiatan impor sempat vacum sejak 2022 - 2023 baru mulai melakukan impor kembali 2024.
 Sudah melakukan impor 3 X-Ray (2 Merk SONTU tipe Sontu 100-POR-I dan 1 Merk Perlove tipe PLX5200A 50 KW) masih di simpan sebagai stok, belum ada yang di distribusikan karena belum ada izin pengal ihan.</t>
  </si>
  <si>
    <t>-Pelaku usaha agar mengajukan izin pengalihan pembangkit radiasi pengion melalui OSS RBA.&lt;br /&gt;
 &lt;br /&gt;
 Untuk menutup temuan unggah izin pengalihan pembangkit radiasi pengion, melalui menu TLHI (Tindak Lanjut Hasil Inspeksi) di Sistem Balis Infara (https://balis_x0002_infara.bapeten.go.id) sebagai bukti tindak lanjut hasil inspeksi.&lt;br&gt;</t>
  </si>
  <si>
    <t>Izin pengalih saat ini sedang diajukan dan sedang menunggu hasil evaluasi dari Bapeten. Terlampir bukti pengajuan Izin Pengalih dengan nomor registrasi 121268.26</t>
  </si>
  <si>
    <t>Sulawesi Tengah</t>
  </si>
  <si>
    <t>01.01.02</t>
  </si>
  <si>
    <t>Izin telah habis masa berlaku</t>
  </si>
  <si>
    <t>Izin pemanfaatan Pesawat Nanning Yiju (Tabung Toshiba) tipe/No.seri tabung: E7884 / 4D409 No. 059336.010.22.200320 telah kadaluarsa tanggal 19 Maret 2023</t>
  </si>
  <si>
    <t>RSUD. Dr. Slamet Kabupaten Garut</t>
  </si>
  <si>
    <t>RSUD. DR. SLAMET GARUT Jl. Rumah Sakit No. 12Tarogong Kidul - Garut</t>
  </si>
  <si>
    <t>RSUD. DR. SLAMET GARUT Jl. Rumah Sakit No. 12Tarogong Kidul - Garut ,Garut,Jawa Barat</t>
  </si>
  <si>
    <t>00106.01.00364.01.1.0526</t>
  </si>
  <si>
    <t>memiliki 1 SRP yang belum tercantum dalam izin pemanfaatan yang berlaku dengan rincian:
 merk unit: Siemens 
 tipe unit: Mobilett XP Eco
 merk tabung: Siemens
 tipe tabung: 01158815
 nomor seri tabung: 554843</t>
  </si>
  <si>
    <t>-BLU RUMAH SAKIT UMUM DR.SLAMET KABUPATEN GARUT agar segera mengajukan izin pemanfaatan untuk sublingkup RADIOLOGI DIAGNOSTIK DAN/ATAU INTERVENSIONAL untuk 1 SRP tersebut melalui Balis Perizinan 2.5 (https://balis.bapeten.go.id/frontend2/public/index.php) &lt;br /&gt;
 &lt;br /&gt;
 Unggah KTUN rekomendasi izin yang telah terbit dari BALIS 2.5 yang sudah mencantumkan data ZRA tersebut melalui menu TLHI (Tindak Lanjut Hasil Inspeksi) di Sistem BALIS INFARA (https://balis-infara.bapeten.go.id) sebagai bukti tindak lanjut hasil inspeksi.&lt;br&gt;</t>
  </si>
  <si>
    <t>Perizinan Penambahan Untuk Mobilette ECO XP Sudah Selesai</t>
  </si>
  <si>
    <t>Kimia Farma Diagnostika</t>
  </si>
  <si>
    <t>Jl. Dharmawangsa 24</t>
  </si>
  <si>
    <t>Jl. Dharmawangsa 24,Surabaya,Jawa Timur</t>
  </si>
  <si>
    <t>00107.01.07968.01.1.0526</t>
  </si>
  <si>
    <t>memiliki 1 SRP yang tidak tercantum dalam KTUN Izin pemanfaatan yang berlaku dengan rincian:
 merk unit: Shanghai Guangzheng
 tipe unit: Shanghai Guangzheng SF 100 BY
 merk tabung: Shanghai Guangzheng
 tipe tabung: XD4-2.9/100
 nomor seri tabung: 1412098</t>
  </si>
  <si>
    <t>-Laboratorium Klinik Kimia Farma cabang Garut agar segera mengajukan izin pemanfaatan untuk sublingkup RADIOLOGI DIAGNOSTIK DAN/ATAU INTERVENSIONAL atau sublingkup PENYIMPANAN SEMENTARA untuk 1 SRP tersebut melalui Balis Perizinan 2.5 (https://balis.bapeten.go.id/frontend2/public/index.php) &lt;br /&gt;
 &lt;br /&gt;
 Unggah KTUN rekomendasi izin yang telah terbit dari BALIS 2.5 yang sudah mencantumkan data SRP tersebut melalui menu TLHI (Tindak Lanjut Hasil Inspeksi) di Sistem BALIS INFARA (https://balis-infara.bapeten.go.id) sebagai bukti tindak lanjut hasil inspeksi.&lt;br&gt;</t>
  </si>
  <si>
    <t>Sehubungan hasil temuan tersebut kami berkomitmen untuk :
 1. Melakukan Pengajuan Penyimpanan Sementara Pembangkit Radiasi Pengion atas alat tersebut.
 2. Tidak menggunakan alat radiologi yang dimaksud untuk kegiatan operasional.
 3. Menyimpan alat radiologi dimaksud di lokasi yang aman serta memastikan tidak digunakan selama masa penyimpanan sementara.
 4. Mematuhi seluruh ketentuan peraturan perundang-undangan di bidang keselamatan radiasi dan keamanan sumber radiasi
 Adapun Pengajuan Penyimpanan Sementara untuk alat dimaksud telah dilakukan dan masih tahap verifikasi.Terlampir KTUN Izin Penyimpanan Sementara atas Alat Rontgen tersebut</t>
  </si>
  <si>
    <t>BLU RS. Tk. II. 03.05.01. Dustira / Kesdam III Siliwangi</t>
  </si>
  <si>
    <t>Jl. Rumah Sakit No. 1 Cimahi 40525</t>
  </si>
  <si>
    <t>Sulawesi Selatan</t>
  </si>
  <si>
    <t>Jl. Rumah Sakit No. 1 Cimahi 40525,Cimahi,Jawa Barat</t>
  </si>
  <si>
    <t>00108.01.02971.01.1.0526</t>
  </si>
  <si>
    <t>memiliki 1 SRP dengan izin yang telah habis masa berlaku dengan rincian:
 a. merk unit: GE
 tipe unit: Optima XR200AMX
 merk tabung: Canon
 tipe tabung: E7894
 nomor seri tabung: 0G1483</t>
  </si>
  <si>
    <t>-BLU RS. Tk. II. 03.05.01. Dustira / Kesdam III Siliwangi agar segera mengajukan izin pemanfaatan untuk sublingkup PENYIMPANAN SEMENTARA untuk 1 SRP tersebut melalui Balis Perizinan 2.5 (https://balis.bapeten.go.id/frontend2/public/index.php) &lt;br /&gt;
 &lt;br /&gt;
 Unggah KTUN rekomendasi izin yang telah terbit dari BALIS 2.5 yang sudah mencantumkan data SRP tersebut melalui menu TLHI (Tindak Lanjut Hasil Inspeksi) di Sistem BALIS INFARA (https://balis-infara.bapeten.go.id) sebagai bukti tindak lanjut hasil inspeksi.&lt;br&gt;-BLU RS. Tk. II. 03.05.01. Dustira / Kesdam III Siliwangi agar segera mengajukan izin pemanfaatan untuk sublingkup RADIOLOGI DIAGNOSTIK DAN/ATAU INTERVENSIONAL untuk 2 SRP tersebut melalui Balis Perizinan 2.5 (https://balis.bapeten.go.id/frontend2/public/index.php) &lt;br /&gt;
 &lt;br /&gt;
 Unggah KTUN rekomendasi izin yang telah terbit dari BALIS 2.5 yang sudah mencantumkan data SRP tersebut melalui menu TLHI (Tindak Lanjut Hasil Inspeksi) di Sistem BALIS INFARA (https://balis-infara.bapeten.go.id) sebagai bukti tindak lanjut hasil inspeksi.&lt;br&gt;</t>
  </si>
  <si>
    <t>Insani Medical Center</t>
  </si>
  <si>
    <t>Jl. Pendidikan Raya No.33, Duren Sawit</t>
  </si>
  <si>
    <t>Jl. Pendidikan Raya No.33, Duren Sawit,Jakarta Timur,DKI Jakarta</t>
  </si>
  <si>
    <t>00125.01.06825.01.1.0626</t>
  </si>
  <si>
    <t>Terdapat 4 (empat) data SRP yang masih berstatus aktif di Medical Insani, namun alat sudah tidak ada di fasilitas, yaitu : 
 a. Merk: Medinif Mobile F100 mA tipe. XD4-2 ns.10065 (031480.1.204.00000.081215) yang sudah dialihkan ke pihak lain, yaitu ke Klinik Citra Medika Surabaya. 
 b. Merk: Mednif F-50-100 tipe.XD 1-3/90 ns.06141246, (017927.1.204.00000.250810) 
 c. Merk: Mednif tipe.XD3-3,5/100 ns.1204, (019441. 1.204.00000.130810) 
 d. Merk: Mednif tipe.XD55-10/100 ns.1432 (017301.1.204.00000.050809)</t>
  </si>
  <si>
    <t>-Pelaku usaha agar mengajukan penonaktifkan izin untuk 4 izin yang kadaluarsa, yaitu: &lt;br /&gt;
 a. 017927.1.204.00000.250810 &lt;br /&gt;
 b. 019441. 1.204.00000.130810 &lt;br /&gt;
 c. 031480.1.204.00000.081215 &lt;br /&gt;
 d. 017301.1.204.00000.050809 &lt;br /&gt;
 Ke perizinan FRZR BAPETEN melalui email : dpfrzr@bapeten.go.id Untuk menutup temuan unggah dokumen pengajuan penonaktifan izin untuk 4 izin pada menu TLHI (Tindak Lanjut Hasil Inspeksi) di Sistem Balis Infara (https://balisinfara.bapeten.go.id) sebagai bukti tindak lanjut hasil inspeksi. &lt;br&gt;</t>
  </si>
  <si>
    <t>Sudah email pada 18 Juni 2026 : Mengajukan Permohonan Penghentian
 Izin Pemanfaatan Pesawat Sinar-X 4 SRP tersebut</t>
  </si>
  <si>
    <t>Krakatau Steel (Persero) Tbk.</t>
  </si>
  <si>
    <t>Jl. Jend. Gatot Subroto 54, Tebet Barat, Tebet</t>
  </si>
  <si>
    <t>Jl. Jend. Gatot Subroto 54, Tebet Barat, Tebet,Jakarta Selatan,DKI Jakarta</t>
  </si>
  <si>
    <t>00155.01.00028.08.1.0626</t>
  </si>
  <si>
    <t>1. Terdapat 2 (dua) buah Pembangkit Radiasi Pengion sudah habis masa berlaku izin, tidak dilakukan perpanjangan karena tidak adanya aktivitas operasional pada pabrik yang menggunakan , yaitu:
 a. Bruker tipe: S1 TITAN 600 (600N6069) nomor seri: 42360 kondisi: 50 kV / 0.1 mA terdapat pada KTUN 079028.017.11.040321 habis masa berlaku tanggal 3 Maret 2024
 b. Shimadzu tipe: MXF-2400 nomor seri: OEG83J (91434-R4) kondisi: 50 kV / 100 mA terdapat pada KTUN 103197.017.11.181220 habis masa berlaku tanggal 17 Desember 2023
 2. KTUN 067317.014.11.180221 untuk sumber Am-241Be tipe: Point Source, nomor seri: 007/11, aktivitas 300 mCi / 2013-04-04 telah habis masa berlaku 17 Februari 2024 (sumber Am-241Be sejak pembelian s.d saat inspeksi tidak dioperasikan). Permohonan perpanjangan izin ditolak, karena tidak memiliki surveymeter neutron.</t>
  </si>
  <si>
    <t>-Pelaku Usaha agar melakukan permohonan izin pemanfaatan untuk 2 (dua) pembangkit radiasi pengion dan izin penyimpanan sementara 1 (satu) zat radioaktif Am-241Be.&lt;br /&gt;
 &lt;br /&gt;
 Untuk menutup temuan, unggah bukti KTUN izin melalui menu TLHI (Tindak Lanjut Hasil Inspeksi) di Sistem Balis Infara (https://balis-infara.bapeten.go.id) sebagai bukti tindak lanjut hasil inspeksi&lt;br /&gt;
 &lt;br&gt;</t>
  </si>
  <si>
    <t>RSUD. Bakti Pajajaran</t>
  </si>
  <si>
    <t>Jln. KSR Dadi Kusmayadi No. 27, Jawa Barat</t>
  </si>
  <si>
    <t>Jln. KSR Dadi Kusmayadi No. 27, Jawa Barat,,Seluruh Indonesia</t>
  </si>
  <si>
    <t>00172.01.03490.01.1.0726</t>
  </si>
  <si>
    <t>Sulawesi Tenggara</t>
  </si>
  <si>
    <t>terdapat 2 unit pesawat x-ray yang belum memiliki izin pemanfaatan dengan data sebagai berikut:
 Merk Philips, tipe Essenta DR Compact, seri 14000068, energi 150 kV / 650 mA =&gt; Berfungsi dengan baik, akan tetapi tidak ada persetujuan impor karena barang sudah lama semenjak tahun 2014 dan tidak ada riwayat pergantian tabung, hanya ketidaksesuaian saja di izin yang pernah terbit.
 Merk Siemens Somatom Emotion 16, tipe Dura 422 MV, seri 61537126, energi 130 kV / 345 mAs =&gt; rusak dan tidak dapat diperbaiki lagi</t>
  </si>
  <si>
    <t>-Kode Temuan 1.01.03&lt;br /&gt;
 Pelaku usaha agar mengajukan permohonan perubahan SRP, yaitu perubahan pengurangan data sumber ke BAPETEN melalui BALIS Perizinan.&lt;br /&gt;
 &lt;br /&gt;
 KTUN yang sudah dilakukan perubahan diunggah di Sistem Balis Infara (https://balis-infara.bapeten.go.id) pada menu TLHI (Tindak Lanjut Hasil Inspeksi) sebagai bukti tindak lanjut hasil inspeksi.&lt;br /&gt;
 &lt;br /&gt;
 Apabila SRP yang rusak akan diperbaiki, maka tidak perlu mengajukan permohonan perubahan SRP.&lt;br /&gt;
 &lt;br&gt;-Kode Temuan 1.01.02&lt;br /&gt;
 Pelaku usaha agar segera menonaktifkan SRP Merk Siemens Somatom Emotion 16, tipe Dura 422 MV, seri 61537126, energi 130 kV / 345 mAs jika tidak akan digunakan kembali atau mengajukan permohonan penyimpanan sementara apabila SRP akan diperbaiki. &lt;br /&gt;
 &lt;br /&gt;
 Pelaku usaha agar segera mengajukan izin pemanfaatan SRP Merk Philips, tipe Essenta DR Compact, seri 14000068, energi 150 kV / 650 mA.&lt;br /&gt;
 &lt;br /&gt;
 Surat permohonan penonaktifan izin data SRP atau KTUN izin penyimpanan sementara diunggah di Sistem Balis Infara (https://balis-infara.bapeten.go.id) pada menu TLHI (Tindak Lanjut Hasil Inspeksi) sebagai bukti tindak lanjut hasil inspeksi.&lt;br /&gt;
 &lt;br /&gt;
 KTUN yang sudah dilakukan perubahan diunggah di Sistem Balis Infara (https://balis-infara.bapeten.go.id) pada menu TLHI (Tindak Lanjut Hasil Inspeksi) sebagai bukti tindak lanjut hasil inspeksi.&lt;br /&gt;
 &lt;br /&gt;
 &lt;br&gt;</t>
  </si>
  <si>
    <t>BLU RSUD Kabupaten Bekasi</t>
  </si>
  <si>
    <t>Jl. Teuku Umar, Cibitung</t>
  </si>
  <si>
    <t>Jl. Teuku Umar, Cibitung,Bekasi,Jawa Barat</t>
  </si>
  <si>
    <t>00168.01.05242.01.1.0726</t>
  </si>
  <si>
    <t>Terdapat 6 (enam) unit SRP kondisi rusak, izin sudah tidak berlaku, status belum dinonaktifkan, dan tidak akan digunakan kembali, yaitu:
 1. Merk Philips Tipe Unit: 9890 000 85271, No. Seri Unit: 234496, Kond. Maks.: 150 kV kV-1100 mA mA, Tipe Tabung : 9890 000 85271, No. Seri Tabung : 234496
 2. Merk Toshiba, Tipe Unit: DQ-073B-AC, No. Seri Unit: 7A06167, Kond. Maks.: 70 kV kV-7 mA, Tipe Tabung : DQ-073B-AC, No. Seri Tabung : 7A06167
 3. Merk Ziehm Tipe Unit: DF-151R-0,5/1,5-110-40, No. Seri Unit: 912/0006L 09540, Kond. Maks.: 110 kV kV-8 mA mA, Tipe Tabung : DF-151R-0,5/1,5-110 40, No. Seri Tabung : 912/0006L-09540
 4. Merk Roesys Tipe Unit: RAD21, No. Seri Unit: 65814S9, Kond. Maks.: 150 kV kV-800 mA mA, Tipe Tabung : RAD21, No. Seri Tabung : 65814S9
 5. Siemens, (PRP) Tipe Unit: Straton MX / 8402062, No. Seri Unit: 664372072, Kond. Maks.: 140 kV kV-800 mA mA, Tipe Tabung : Straton MX / 8402062, No. Seri Tabung : 664372072
 6. DR-GEM, (PRP) Tipe Unit: DXT-10, No. Seri Unit: M2004028, Kond. Maks.: 125 kV kV-500 mA mA, Tipe Tabung : DXT-10, No. Seri Tabung : M2004028</t>
  </si>
  <si>
    <t>-Kode Temuan 1.01.02&lt;br /&gt;
 Pelaku usaha agar segera menonaktifkan SRP jika tidak akan digunakan kembali atau mengajukan permohonan penyimpanan sementara apabila SRP akan diperbaiki. &lt;br /&gt;
 &lt;br /&gt;
 Surat permohonan penonaktifan izin data SRP atau KTUN izin penyimpanan sementara diunggah di Sistem Balis Infara (https://balis-infara.bapeten.go.id) pada menu TLHI (Tindak Lanjut Hasil Inspeksi) sebagai bukti tindak lanjut hasil inspeksi.&lt;br /&gt;
 &lt;br&gt;-Kode Temuan 1.01.03&lt;br /&gt;
 Pelaku Usaha agar segera menyelesaikan proses permohonan izin pemanfaatan sebelum SRP digunakan. &lt;br /&gt;
 &lt;br /&gt;
 KTUN izin pemanfaatan diunggah di Sistem Balis Infara (https://balis-infara.bapeten.go.id) pada menu TLHI (Tindak Lanjut Hasil Inspeksi) sebagai bukti tindak lanjut hasil inspeksi.&lt;br /&gt;
 &lt;br&gt;</t>
  </si>
  <si>
    <t>RSUD Dr. Achmad Mochtar Bukittinggi</t>
  </si>
  <si>
    <t>Jl Dr A. Rivai Bukittinggi</t>
  </si>
  <si>
    <t>Jl Dr A. Rivai Bukittinggi,Bukittinggi,Sumatera Barat</t>
  </si>
  <si>
    <t>00218.01.03310.01.1.0726</t>
  </si>
  <si>
    <t>Terdapat 5 (Lima) Alat Radiologi Diagnostik Dan Intervensional kondisi izin berakhir dalam kondisi rusak dan tidak digunakan, dan alat berada di Gudang/Afkir Penyimpanan Radiologi dan akan dilakukan penonaktifan :
 1. GE TMX+ (PRP) tipe tabung X22018-1.3, no. seri tabung 13FE61 
 2. Shimadzu Mobile X Ray Art Evolution (PRP) tipe tabung 07/1.34163 C-36, no. seri tabung 2XY0001831
 3. Philips Iconia 50 R (PRP) tipe tabung 989000085271, no. seri tabung 239260
 4. Hitachi Eclos (Varian) (PRP) tipe tabung GS-4570, no. seri tabung 43566-U2
 5. (PRP) tipe tabung ATHLONTube, no. seri tabung 652312372</t>
  </si>
  <si>
    <t>-RSUD Dr. Achmad Mochtar Bukittinggi mengajukan penetapan penghentian pesawat sinar-x yang telah berakhir izinnya dan tidak digunakan, melalui email ke dpfrzr@bapeten.go.id sampai terbit Surat Keputusan Penetapan Penghentian SRP dari Direktorat Perizinan FRZR dengan beberapa kelengkapan sebagai berikut: &lt;br /&gt;
 a. Surat Permohonan Penetapan Penghentian SRP yang ditandatangani Direktur &lt;br /&gt;
 b. Berita Acara penanganan akhir pesawat sinar-X.&lt;br /&gt;
  Untuk menutup temuan, unggah surat penetapan penghentian pesawat sinar-x yang diterbitkan oleh Direktorat Perizinan FRZR melalui menu TLHI (Tindak Lanjut Hasil Inspeksi) di Sistem BALIS INFARA (https://balis-infara.bapeten.go.id) &lt;br /&gt;
 sebagai bukti tindak lanjut hasil inspeksi.&lt;br /&gt;
 &lt;br&gt;-RSUD Dr. Achmad Mochtar Bukittinggi memastikan tindakan perbaikan dan melakukan uji kesesuaian jika akan digunakan kembali untuk alat Radiologi Diagnostik Dan Intervensional. &lt;br /&gt;
 &lt;br /&gt;
 Untuk menutup temuan, unggah surat komitmen tindakan perbaikan jika akan digunakan kembali untuk alat Radiologi Diagnostik Dan Intervensional melalui menu TLHI (Tindak Lanjut Hasil Inspeksi) di Sistem Balis Infara (https://balis-infara.bapeten.go.id) sebagai bukti tindak lanjut hasil inspeksi (https://balis-infara.bapeten.go.id) sebagai bukti tindak lanjut hasil inspeksi.&lt;br&gt;</t>
  </si>
  <si>
    <t>Sulawesi Barat</t>
  </si>
  <si>
    <t>Surat Permohonan Penetapan Penghentian SRP yang ditandatangani DirekturSurat komitmen tindakan perbaikan jika akan digunakan kembali untuk alat Radiologi Diagnostik Dan Intervensional Berita Acara penanganan akhir pesawat sinar-X.surat penetapan penghentian pesawat sinar-x yang diterbitkan oleh Direktorat Perizinan FRZR</t>
  </si>
  <si>
    <t>Dari hasil inspeksi di lapangan ditemukan, 3 (tiga) PRP izin berakhir di balis 2.0, status rusak, tidak digunakan yaitu :
 1. PANalytical (PRP) tipe tabung 943003373004-Cu , No seri tabung DK369812
 2. ARL (PRP) tipe tabung OEG92J-RH, No seri tabung 174
 3. Thermo ARL 9900 Series (PRP), tipe tabung OEG-94J, No seri tabung 56680-Q6</t>
  </si>
  <si>
    <t>00177.01.01360.09.1.0726</t>
  </si>
  <si>
    <t>Iradiator dengan Zat Radioaktif Terbungkus Kategori I untuk Keperluan Medik, Co-60, Irradiator Gamma Chamber 50003862 berakhir 27 Desember 2025
 • Berdasarkan Kajian justifikasi oleh fisikawan medik pada Agustus 2025 mengenai penggunaan Co-60 yang ada sudah tidak efektif digunakan untuk layanan pasien (sterlisasi jaringan) (Aktivitas pada Agustus 2025: 356,8 Ci)</t>
  </si>
  <si>
    <t>-RSUP Dr. M. Djamil Padang harus mengajukan KTUN izin penyimpanan sementara ZRA di balis 2.5 dan surat komitmen melakukan pelimbahan zat radioaktif sesuai dengan ketentuan BAPETEN&lt;br /&gt;
 &lt;br /&gt;
 Untuk menutup temuan agar mengunggah KTUN izin penyimpanan sementara ZRA dan surat komitmen tersebut ke dalam sistem Balis Infara (https://balis-infara.bapeten.go.id) sebagai bukti tindak lanjut hasil inspeksi.&lt;br&gt;</t>
  </si>
  <si>
    <t>Terdapat 6 (Enam) Alat Radiologi Diagnostik Dan Intervensional, izin berakhir (balis 2.0) dalam kondisi rusak dan tidak digunakan, alat berada di Gudang/Afkir Penyimpanan Radiologi dan akan dilakukan penetapan penghentian :
 1. Apelem (PRP) tipe tabung RTM 782 HS, No seri tabung 84N379
 2. Toshiba (PRP) tipe tabung DR-3535H, No seri tabung 1J177
 3. Toshiba (PRP) Tipe tabung DR-3724H, No seri tabung 1K19
 4. Medispec (PRP) tipe tabung OX/110-5, No seri tabung 1120430
 5. Siemens (PRP) tipe tabung 1158815, No seri tabung 555071
 6. Siemens (PRP) tipe tabung 4933727, No seri tabung 16123</t>
  </si>
  <si>
    <t>Maluku</t>
  </si>
  <si>
    <t>Terdapat 1 (satu) unit Pesawat Sinar-X untuk kegiatan Analisis yang masih digunakan namun tidak memiliki izin, yaitu: Shimadzu Tipe Unit: XRD-6000 (PW2253/20), No. Seri Unit: Q303-39000251 (DK 282623), Tipe Tabung: XRD-6000 (PW2253/20), No. Seri Tabung: Q303-39000251(DK282623) sebelumnya tercantum dalam KTUN Izin Pemanfaatan No. 074588.017.11.050418 telah habis masa berlaku izinnya tanggal 04 April 2021.</t>
  </si>
  <si>
    <t>Sarihusada Generasi Mahardhika</t>
  </si>
  <si>
    <t>Jl. Kusuma Negara No. 173</t>
  </si>
  <si>
    <t>Jl. Kusuma Negara No. 173,Yogyakarta,Daerah Istimewa Yogyakarta</t>
  </si>
  <si>
    <t>00239.01.05605.12.1.0726</t>
  </si>
  <si>
    <t>Terdapat 7 (tujuh) pesawat sinar-X yang telah habis masa berlaku izinnya pada tanggal 9 Februari 2022 yaitu:
 1. Mettler Toledo Safeline Tipe Unit: InspireX-R20 (SAX 1602), No. Seri Unit: BC8764, Tipe Tabung : InspireX-R20 (SAX 1602), No. Seri Tabung : BC8764
 2. Mettler Toledo Safeline Tipe Unit: SAX1602, No. Seri Unit: BL4963, Tipe Tabung : SAX1602, No. Seri Tabung : BL4963
 3. Mettler Toledo Safeline Tipe Unit: SAX1602, No. Seri Unit: BK6429, Tipe Tabung : SAX1602, No. Seri Tabung : BK6429
 4. Mettler Toledo Safeline Tipe Unit: SAX1602, No. Seri Unit: BC8792, Tipe Tabung : SAX1602, No. Seri Tabung : BC8792
 5. Mettler Toledo Safeline Tipe Unit: 160/25HD, No. Seri Unit: 16087211, Tipe Tabung : 160/25HD, No. Seri Tabung : 16087211
 6. Mettler Toledo Safeline Tipe Unit: 160/25HA, No. Seri Unit: 16087285, Tipe Tabung : 160/25HA, No. Seri Tabung : 16087285
 7. Mettler Toledo Safeline Tipe Unit: SAX1602, No. Seri Unit: BG2115, Tipe Tabung : SAX1602, No. Seri Tabung : BG2115</t>
  </si>
  <si>
    <t>-Pelaku Usaha agar mengajukan permohonan penonaktifan Sumber Radiasi Pengion (SRP) apabila SRP tidak akan digunakan lagi.&lt;br /&gt;
 &lt;br /&gt;
 Unggah Penonaktifan tersebut melalui menu TLHI (Tindak Lanjut Hasil Inspeksi) di Sistem BALIS INFARA (https://balis-infara.bapeten.go.id) sebagai bukti tindak lanjut hasil inspeksi.&lt;br /&gt;
 &lt;br&gt;</t>
  </si>
  <si>
    <t>Memo disposal asetSurat permohonan penonaktifan SRP</t>
  </si>
  <si>
    <t>Izin telah habis masa berlaku:
  1. 065489.224.11.270317 : Smiths Detection Tipe Unit: Generator Hi Ray 8, No. Seri Unit: SV21113706, Tipe Tabung : Generator HiRay 8, No. Seri Tabung : SV21113706 
 2. 065490.224.11.270317 : Smiths Detection Tipe Unit: Generator Hi Ray 8, No. Seri Unit: SV19102860, Tipe Tabung : Generator HiRay 8, No. Seri Tabung : SV19102860 
 3. 065491.224.11.270317 : Smiths Detection Tipe Unit: Generator Hi Ray 8, No. Seri Unit: SV21113729, Tipe Tabung : Generator HiRay 8, No. Seri Tabung : SV21113729 
 4. 065492.224.11.270317 : Smiths Detection Tipe Unit: Generator Hi Ray 8, No. Seri Unit: SV21134742, Tipe Tabung : Generator HiRay 8, No. Seri Tabung : SV21134742 
 5. 065493.224.11.270317 : Smiths Detection Tipe Unit: Generator Hi Ray 7, No. Seri Unit: SM141506279, Tipe Tabung : Generator HiRay 7, No. Seri Tabung : SM141506279 
 6. 065494.224.11.270317 : Smiths Detection Tipe Unit: Generator Hi Ray 7, No. Seri Unit: SM141506323, Tipe Tabung : Generator HiRay 7, No. Seri Tabung : SM141506323 
 7. 073328.224.11.041219 : Gilardoni Tipe Unit: FEP ME 536, No. Seri Unit: 063040009, Tipe Tabung : FEP ME 536, No. Seri Tabung : 063040009</t>
  </si>
  <si>
    <t>Pesawat sinar-x Smiths Detection tipe HS 5030si, No. Seri 83939 dan 72763 yang tercantum dalam izin 023623.3.125.00001.011112 dalam kondisi rusak dan disimpan di gudang.</t>
  </si>
  <si>
    <t>Maluku Utara</t>
  </si>
  <si>
    <t>01.01.03</t>
  </si>
  <si>
    <t>Izin dalam proses</t>
  </si>
  <si>
    <t>Pesawat Philips MammoDiagnost tipe/No.seri: P40MoW/3122509 / 504700 sedang diajukan dalam permohonan izin No. Reg 108981.26</t>
  </si>
  <si>
    <t>Balai Pengamanan Alat dan Fasilitas Kesehatan Makassar</t>
  </si>
  <si>
    <t>Jl. Perintis Kemerdekaan. Km.11</t>
  </si>
  <si>
    <t>Papua</t>
  </si>
  <si>
    <t>Jl. Perintis Kemerdekaan. Km.11,Makassar,Sulawesi Selatan</t>
  </si>
  <si>
    <t>00079.01.03527.11.1.0426</t>
  </si>
  <si>
    <t>ZRA Sr-90 Tipe/No Seri: - / BF-3750 sedang diajukan dalam permohonan izin No. registrasi 108300.26</t>
  </si>
  <si>
    <t>-Pihak Instansi agar melanjutkan proses perizinan untuk ZRA tersebut sampai dengan terbit KTUN Izin pemanfaatan.&lt;br /&gt;
 &lt;br /&gt;
 Unggah KTUN Izin pemanfaatan yang telah terbit tersebut melalui menu TLHI (Tindak Lanjut Hasil Inspeksi) di Sistem Balis Infara (https://balis-infara.bapeten.go.id) sebagai bukti tindak lanjut hasil inspeksi.&lt;br /&gt;
 &lt;br&gt;</t>
  </si>
  <si>
    <t>BPAFK Makassar sementara melakukan pengurusan perizinan untuk ZRA tersebut sampai belum terbit KTUN Izin pemanfaatan.Izin Sr-90 telah terbit</t>
  </si>
  <si>
    <t>RSUD. dr. Abdul Aziz Singkawang</t>
  </si>
  <si>
    <t>Jl. Dr. Sutomo No. 28</t>
  </si>
  <si>
    <t>Jl. Dr. Sutomo No. 28,Singkawang,Kalimantan Barat</t>
  </si>
  <si>
    <t>00087.01.10697.01.1.0526</t>
  </si>
  <si>
    <t>Terdapat 1 (satu) Pesawat X-Ray mammography yang belum tercantum dalam izin pemanfaatan dan saat ini dalam proses pengajuan izin dengan data sebagai berikut:
 1. Merk: General Medical Merate, Tipe Unit: VIOLA D, No. Seri Unit: 2534119109, Tipe Tabung: XM1016 T 0.1/0.3, No. Seri Tabung: 67C23T</t>
  </si>
  <si>
    <t>-Pelaku Usaha agar memantau proses perizinan melalui Balis 2.5 hingga terbit rekomendasi izin pemanfaatan yang sudah mencantumkan pesawat sinar-x berikut:&lt;br /&gt;
 1. Merk: General Medical Merate, Tipe Unit: VIOLA D, No. Seri Unit: 2534119109, Tipe Tabung: XM1016 T 0.1/0.3, No. Seri Tabung: 67C23T&lt;br /&gt;
 &lt;br /&gt;
 Untuk menutup temuan, unggah KTUN rekomendasi izin yang telah mencantumkan pesawat sinar-x tersebut melalui menu TLHI (Tindak Lanjut Hasil Inspeksi) di Sistem Balis Infara (https://balis-infara.bapeten.go.id) sebagai bukti tindak lanjut hasil inspeksi.&lt;br /&gt;
 &lt;br /&gt;
 Pelaku Usaha DILARANG mengoperasikan peralatan sinar-x mammography sebelum pesawat sinar-x tersebut tercantum dalam KTUN izin pemanfaatan.&lt;br&gt;</t>
  </si>
  <si>
    <t>KTUN Izin Mammografi</t>
  </si>
  <si>
    <t>Papua Barat</t>
  </si>
  <si>
    <t>memiliki 2 SRP yang belum tercantum dalam KTUN Rekomendasi Izin dan sedang proses perizinan dengan nomor registrasi 108960.26 dengan rincian:
 a. merk unit: Siemens
 tipe unit: Cios Select
 nomor seri unit: 10738
 merk tabung: Siemens
 tipe tabung: SR 125/40/80
 nomor seri tabung: 1807951
 b. merk unit: Carestream
 tipe unit: Horizon
 nomor seri unit: XV5252PJ1615
 merk tabung: Canon
 tipe tabung: E7252
 nomor seri tabung: 25J0573</t>
  </si>
  <si>
    <t>Terdapat pengajuan izin penyimpanan sementara dengan nomor registrasi 113463.26 untuk SRP 
 1. Ir-192 7 (A) TT5730 3145 GBq /2024-12-17
 2. Ir-192 7 (A) TT5769 3145 GBq /2025-01-25
 3. Ir-192 7 (A) TT6312 3145 GBq/2025-07-24
 4. Ir-192 7 (A) TT6207 3145 GBq /2025-05-20
 5. Ir-192 7 (791/A) TT5729 3145 GBq /2024-12-17
 6. Ir-192 7 A) TT5773 3145 GBq /2025-01-25
 7. Ir-192 7 (A) TT6211 3145 GBq /2025-05-20
 8. Ir-192 7 (A) TT5771 3145 GBq /2025-01-25
 9. Ir-192 7 (791/A) TT6213 3145 GBq / 2025-05-20</t>
  </si>
  <si>
    <t>Papua Selatan</t>
  </si>
  <si>
    <t>KTUN-06838.629.3.110626 tentang Perubahan Rekomendasi Penyimpanan Sementara Zat Radioaktif Nomor 02529.629.3.040326</t>
  </si>
  <si>
    <t>Terdapat pengajuan permohonan penambahan SRP dengan No. Registrasi 113908.26 untuk 
 1. Kamera No. D12775, ZRA Ir-192 No. Seri BB729
 2. Kamera No. D13371, ZRA Ir-192 No. Seri YY 367
 3. Kamera No. D5622, ZRA Ir-192 No. Seri BB730</t>
  </si>
  <si>
    <t>Permohonan izin yang telah terbit</t>
  </si>
  <si>
    <t>Terdapat 6 (enam) pesawat sinar-X yang rusak dengan No Seri sebagai berikut:
 1. Merk Unit: Instrumentarium
 Tipe Unit: OC200D
 No Seri Unit: 106110
 Merk Tabung: Instrumentarium
 Tipe Tabung: D051S
 No Seri Tabung: GL01878
 2. Merk Unit: Fujifilm
 Tipe Unit: FDR MS-3500 Digital Mammography Amulet Innovality
 No Seri Unit: 36525138
 Merk Tabung: Varex Imaging
 Tipe Tabung: M-113T
 No Seri Tabung: 90318-2Y
 3. Merk Unit: Philips
 Tipe Unit: BV Pulsera
 No Seri Unit: 13729
 Merk Tabung: IAE
 Tipe Tabung: RO0306
 No Seri Tabung: 82V910
 4. Merk Unit: Philips
 Tipe Unit: MobileDiagnost wDR
 No Seri Unit: 19410051
 Merk Tabung: Canon
 Tipe Tabung: E7886
 No Seri Tabung: 8L1013
 5. Merk Unit: Instrumentarium
 Tipe Unit: FOCUS
 No Seri Unit: F39296
 Merk Tabung: Toshiba
 Tipe Tabung: D0711S
 No Seri Tabung: 8G03317
 6. Merk Unit: GE
 Tipe Unit: Optima XR220AMX
 No Seri Unit: SB2202000138WK
 Merk Tabung: Canon
 Tipe Tabung: E7894
 No Seri Tabung: 0H0012</t>
  </si>
  <si>
    <t>Papua Tengah</t>
  </si>
  <si>
    <t>Terdapat satu unit SRP yang sedang dalam proses permohonan izin, yaitu Merk Newtom tipe RXDC, seri 706M4554, 70 kV / 7 mA.</t>
  </si>
  <si>
    <t>1. Permohonan baru izin SRP atas Alat Dental NewTom sdh disubmit kembali tg 22 Sept setelah perbaikan</t>
  </si>
  <si>
    <t>BLU RSUD Pringsewu</t>
  </si>
  <si>
    <t>Jl. Lintas Barat, Pekon Fajar Agung Barat, Kec. Pringsewu Kab. Pringsewu, Kota Lampung</t>
  </si>
  <si>
    <t>Jl. Lintas Barat, Pekon Fajar Agung Barat, Kec. Pringsewu Kab. Pringsewu, Kota Lampung,Pringsewu,Lampung</t>
  </si>
  <si>
    <t>00210.01.00740.01.1.0726</t>
  </si>
  <si>
    <t>Terdapat pesawat sinar-X CT Scan, GE Model Tabung 5401074, Nomor Seri Tabung 135315BA0 yang belum tercantum dalam KTUN rekomendasi izin. Saat ini sedang dalam proses permohonan izin pemanfaatan.</t>
  </si>
  <si>
    <t>-Pelaku usaha segera menyelesaikan proses perubahan KTUN rekomendasi izin lingkup Radiologi Diagnostik dan Intervensional untuk menambahkan pesawat CT Scan tersebut melalui Balis Perizinan 2.5 dengan memenuhi persyaratan sesuai yang tertera dalam sistem. &lt;br /&gt;
 &lt;br /&gt;
 Untuk menutup temuan, unggah KTUN perubahan rekomendasi izin Radiologi Diagnostik dan Intervensional terbaru yang sudah ditambahkan peswaat CT Scan tersebut, melalui menu TLHI (Tindak Lanjut Hasil Inspeksi) Balis Infara (https://balis-infara.bapeten.go.id) sebagai bukti tindak lanjut hasil inspeksi. &lt;br&gt;</t>
  </si>
  <si>
    <t>KTUN Perubahan sudah ditambahkan Ct- Scan</t>
  </si>
  <si>
    <t>Dari hasil inspeksi di lapangan ditemukan
 2 (dua) PRP, status sedang dalam proses pengajuan izin :
 a. (PRP) Tipe Unit: VF-50, No. Seri Unit: 53321-N6, Kond. Maks.: 50 kV kV-1 mA mA, Tipe Tabung : VF-50, No. Seri Tabung : 53321-N6 
 b. (PRP) Tipe Unit: S8 LION, No. Seri Unit: 213740, Kond. Maks.: 30 kV-100 mA, Tipe Tabung : OEG-95LT-J-RH, No. Seri Tabung : 41149-W8 (telah digunakan sejak tahun 2019)</t>
  </si>
  <si>
    <t>RSUD. Kota Bogor</t>
  </si>
  <si>
    <t>Jl. Dr. Sumeru No. 120, Bogor</t>
  </si>
  <si>
    <t>Jl. Dr. Sumeru No. 120, Bogor ,Bogor,Jawa Barat</t>
  </si>
  <si>
    <t>00240.01.01197.01.1.0726</t>
  </si>
  <si>
    <t>Papua Pegunungan</t>
  </si>
  <si>
    <t>Terdapat SRP sedang diajukan perubahan izin pengurangan SRP dengan noreg117601.26, yaitu: xray ESWL Richard Wolf tipe unit: Piezolith 3000 (Ziehm Solo) no. seri unit: 54278, tipe tanung: D-064R no. seri tabung: 0M11542. Xray dikembalikan ke PT Indoprima Biomed karena KSO sudah berakhir.</t>
  </si>
  <si>
    <t>-Memantau proses perubahan izin dan memastikan KTUN perubahan izin terbit.&lt;br /&gt;
 &lt;br /&gt;
 Untuk menutup temuan, unggah KTUN terbaru melalui menu TLHI pada sistem Balis Infara 2.0 https://balis-infara.bapeten.go.id/ sebagai bukti tindak lanjut hasil inspeksi.&lt;br /&gt;
 &lt;br&gt;</t>
  </si>
  <si>
    <t>KTUN perubahan izin pengurangan SRP xray ESWL Richard Wolf tipe unit: Piezolith 3000 (Ziehm Solo) no. seri unit: 54278, tipe tanung: D-064R no. seri tabung: 0M11542. Xray dikembalikan ke PT Indoprima Biomed karena KSO sudah berakhir.</t>
  </si>
  <si>
    <t>Terdapat permohonan penambahan SRP dengan No. Registrasi 117653.26 pada tahap evaluasi -untuk ZRA Ir-192, Tipe IR3HCT, No. Seri HCE588(PL-4545), Aktivitas 3330 GBq /2026-07-09 untuk kamerea Sentinel 880 Delta D15528.</t>
  </si>
  <si>
    <t>berikut kami kirimkan bukti KATUN Pemanfaatan kedua sumber beserta persetujuan pengiriman multilokasinya ZRA Ir-192 Tipe IR3HCT No. Seri HCE223 (PL-4409) dan ZRA Ir-192, Tipe IR3HCT, No. Seri HCE588(PL-4545)</t>
  </si>
  <si>
    <t>Bridgestone Sumatra Rubber Estate</t>
  </si>
  <si>
    <t>Komplek PT Bridgestone Dolok Merangir</t>
  </si>
  <si>
    <t>Komplek PT Bridgestone Dolok Merangir,Simalungun,Sumatera Utara</t>
  </si>
  <si>
    <t>00222.01.00485.08.1.0726</t>
  </si>
  <si>
    <t>Terdapat permohonan perubahan data pekeja radiasi dengan No. Registrasi 177272.26, dimana mengajukan PPR.
 PPR baru an Fida Selfiana Nst SIB No. 457343. 135.00.30tO24 MB 2029- 10-30 (PPR Industri Tk. 3) sejak 2024 dan menggantikankan Rudiansyah yang telah resign sejak 2024.</t>
  </si>
  <si>
    <t>Papua Barat Daya</t>
  </si>
  <si>
    <t>-Pelaku usaha agar melanjutkan proses perubahan izin sampai dengan KTUN terbit.&lt;br /&gt;
 &lt;br /&gt;
 Untuk menutup temuan, unggah bukti KTUN izin pemanfaatan terbaru melalui menu TLHI (Tindak Lanjut Hasil Inspeksi) di Sistem Ba1is Infara (https://balis-infara. bapeten.go.id) sebagai bukti tindak lanjut hasil inspeksi.&lt;br&gt;</t>
  </si>
  <si>
    <t>KTUN izin pemanfaatan terbaru telah terbit. Data pekerja radiasi pada lampiran II KTUN a.n "Rudiansyah NPR 418141" telah diganti menjadi "Fida Selfiana Nst dengan NPR 457343"</t>
  </si>
  <si>
    <t>Global Arrow</t>
  </si>
  <si>
    <t>Gedung BEI Tower 2 Lt. 17, Jl. Jend. Sudirman Kav. 52-53, Senayan, Kebayoran Baru</t>
  </si>
  <si>
    <t>Gedung BEI Tower 2 Lt. 17, Jl. Jend. Sudirman Kav. 52-53, Senayan, Kebayoran Baru,Jakarta Selatan,DKI Jakarta</t>
  </si>
  <si>
    <t>00197.01.14079.20.1.0726</t>
  </si>
  <si>
    <t>Terdapat 2 PRP Merk Hikvision yang dimiliki Global Arrow dan masih digunakan:
 • Tipe Unit: ISD-SC6550S-H4CVL, No. Seri Unit: FV0257410, Kond. Maks.: 160 kV-1 mA, Tipe Tabung: AT 302, No. Seri Tabung: AM1339033; lokasi penggunaan di Stasiun MRT Lebak Bulus.
 • Tipe Unit: ISD-SC6550S-H4CVL, No. Seri Unit: FV0257412, Kond. Maks.: 160 kV-1 mA, Tipe Tabung: AT 302, No. Seri Tabung: AM1366565; lokasi penggunaan di Stasiun MRT Fatmawati.</t>
  </si>
  <si>
    <t>-Global Arrow segera melakukan penyelesaian proses perizinan terkait 2 PRP tersebut.&lt;br /&gt;
 &lt;br /&gt;
 Untuk menutup temuan, unggah KTUN Izin pada menu TLHI (Tindak Lanjut Hasil Inspeksi) Balis Infara (https://balis-infara.bapeten.go.id) sebagai bukti tindak lanjut hasil inspeksi.&lt;br /&gt;
 &lt;br&gt;-Global Arrow segera melakukan permohonan perubahan Izin terkait data PRP.&lt;br /&gt;
 &lt;br /&gt;
 Untuk menutup temuan, unggah Berita Acara Serah Terima Barang dan KTUN perubahan Izin pada menu TLHI (Tindak Lanjut Hasil Inspeksi) Balis Infara (https://balis-infara.bapeten.go.id) sebagai bukti tindak lanjut hasil inspeksi.&lt;br /&gt;
 &lt;br&gt;-Global Arrow beroperasi dengan 2 alamat, alamat virtual office di Gedung BEI Tower 2 Lt. 17, Jl. Jend. Sudirman Kav. 52-53, Senayan, Kebayoran Baru; Kota Jakarta Selatan; DKI Jakarta 12190; Telp. (021) 5207122, dan Kantor Operasional di Jl. Mpu Sendok No. 34 Kebayoran Baru Jakarta Selatan, 12110.&lt;br /&gt;
 &lt;br /&gt;
 Untuk menutup temuan, unggah dokumen legalitas Global Arrow pada menu TLHI (Tindak Lanjut Hasil Inspeksi) Balis Infara (https://balis-infara.bapeten.go.id) sebagai bukti tindak lanjut hasil inspeksi.&lt;br /&gt;
 &lt;br&gt;</t>
  </si>
  <si>
    <t>01.01.09</t>
  </si>
  <si>
    <t>Jenis kegiatan tidak sesuai dengan yang tercantum dalam izin</t>
  </si>
  <si>
    <t>a. Terdapat 2 (dua) Sumber Radiasi Pengion (SRP) dengan jenis kegiatan yang tidak sesuai, yaitu:
 1. Pengukuran (Gauging) dengan Sumber Radioaktif Terpasang Tetap dengan sumber Cf-252 (Tipe: CVNU0081(X1094), No. Seri: 47523M) dengan aktivitas 0.38 GBq (21 Oktober 2021);
 2. Pengukuran (Gauging) dengan Sumber Radioaktif Terpasang Tetap dengan sumber Cf-252 (Tipe: CVNU0081(X1094), No. Seri: 47524M) dengan aktivitas 0.38 GBq (21 Oktober 2021).</t>
  </si>
  <si>
    <t>Sesuai arahan dari Bapeten , maka ZRA dengan kode sumber 0140975 dan 0140976, tetap dimasukkan dalam Izin Pemanfaatan Gauging karena terpasang di lokasi peralatan produksi, meskipun hanya berfungsi sebagai peralatan analisis.</t>
  </si>
  <si>
    <t>00162.01.02944.05.1.0626</t>
  </si>
  <si>
    <t>Radioterapi</t>
  </si>
  <si>
    <t>Terdapat 1 sumber Ir-192 Nomor Seri D36J0295 untuk izin pemanfaatan 01459.604.3.060226, Brakiterapi Ir-192, Microselectron, tipe pesawat: Afterloading nucletron, No seri:10657 yang belum dikembalikan ke vendor atau importir. Saat dilakukan pengecekan ke lapangan Ir-192 yang akan dilimbahkan dimasukkan ke dalam kontainer atau bungkusan dengan UN Number 2915 yang merupakan UN Number untuk Radiofarmaka.</t>
  </si>
  <si>
    <t>-Agar Pelaku Usaha:&lt;br /&gt;
 1. mengajukan persetujuan pengiriman untuk dikirim ke vendor/importir dalam rangka mengembalikan ke negara asal. &lt;br /&gt;
 2. mengajukan perubahan data SRP pada izin.&lt;br /&gt;
 3. menggunakan label yang tepat pada kontainer sesuai sesuai dengan PP 58 tahun 2015.&lt;br /&gt;
 &lt;br /&gt;
 Untuk menutup temuan, pelaku usaha mengunggah dokumen persetujuan pengiriman sumber ke vendor/importir dan melakukan perubahan izin serta foto penggunaan label yang sesuai sebagai Tindak Lanjut Hasil Inspeksi di Sistem Balis Infara (https://balis-infara.bapeten.go.id) sebagai bukti tindak lanjut hasil inspeksi&lt;br /&gt;
 &lt;br&gt;</t>
  </si>
  <si>
    <t>Persekutuan dan Perkumpulan PPPSRS Cyber 2 Tower</t>
  </si>
  <si>
    <t>Jl. HR Rasuna Said Blok X-5 No.13, Desa/Kelurahan Kuningan Timur, Kec. Setiabudi</t>
  </si>
  <si>
    <t>Jl. HR Rasuna Said Blok X-5 No.13, Desa/Kelurahan Kuningan Timur, Kec. Setiabudi,Jakarta Selatan,DKI Jakarta</t>
  </si>
  <si>
    <t>00188.01.16468.20.1.0726</t>
  </si>
  <si>
    <t>01.02.02</t>
  </si>
  <si>
    <t>Tidak memiliki PPR atau petugas tertentu ber SIB</t>
  </si>
  <si>
    <t>Tidak memiliki PPR karena terkendala dengan persyaratan PPR yang harus berlatar belakang eksakta. Namun sudah diberikan pembinaan oleh tim inspektur sesuai dengan Perba 4/2024 Pasal 6, dalam hal fasilitas radiasi dengan kegiatan pemindai bagasi atau barang lainnya menggunakan Sumber Radiasi Pengion, maka PPR dapat memiliki ijazah pendidikan paling rendah D-III selain teknik atau selain eksakta dan surat keterangan atau rekomendasi pengalaman bekerja di bidang keselamatan dan Kesehatan kerja minimal 2 (dua) tahun</t>
  </si>
  <si>
    <t>-Pelaku Usaha membuat surat pernyataan/komitmen untuk menyediakan PPR sebelum tahun 2030.&lt;br&gt;</t>
  </si>
  <si>
    <t>Surat pernyataan komitmen sudah dibuat</t>
  </si>
  <si>
    <t>PPR yang sudah resign a.n:
 a. Teguh Taufiqurohim
 b. FX Angga Sugiyana
 Calon PPR baru a.n:
 a. Afni Widyastuti
 b. Khariq Fahradz A</t>
  </si>
  <si>
    <t>-Mengajukan perubahan izin analisis karena adanya perubahan data PPR dan pekerja radiasi.&lt;br /&gt;
 &lt;br /&gt;
 Untuk menutup temuan, unggah KTUN terbaru melalui menu TLHI pada sistem Balis Infara 2.0 https://balis-infara.bapeten.go.id/ sebagai bukti tindak lanjut hasil inspeksi.&lt;br /&gt;
 &lt;br&gt;-Mengajukan perubahan izin analisis karena adanya perubahan data PPR dan pekerja radiasi.&lt;br /&gt;
 &lt;br /&gt;
 Untuk menutup temuan, unggah KTUN terbaru melalui menu TLHI pada sistem Balis Infara 2.0 https://balis-infara.bapeten.go.id/ sebagai bukti tindak lanjut hasil inspeksi.&lt;br /&gt;
 &lt;br&gt;</t>
  </si>
  <si>
    <t>Perubahan KTUN dalam prosesSIB UNTUK PPR BELUM RELEASE</t>
  </si>
  <si>
    <t>PT Trans Dana Profitri</t>
  </si>
  <si>
    <t>GMT Building, Jl. Wijaya I No. 5, RT 007 RW 04, Petogogan, Kebayoran Baru</t>
  </si>
  <si>
    <t>GMT Building, Jl. Wijaya I No. 5, RT 007 RW 04, Petogogan, Kebayoran Baru,Jakarta Selatan,DKI Jakarta</t>
  </si>
  <si>
    <t>00248.01.13742.20.1.0826</t>
  </si>
  <si>
    <t>SIB PPR atas nama Ken Ade Wongso telah habis masa berlaku sejak 11 Oktober 2024 dan sudah daftar pelatihan PPR Fluoroskopi Bagasi di Nuklindo, jadwal pelatihan 26 Oktober 2026.</t>
  </si>
  <si>
    <t>-Pelaku usaha agar menyediakan PPR Fluoroskopi Bagasi yang memiliki SIB berlaku.&lt;br /&gt;
 &lt;br /&gt;
  Untuk menutup temuan unggah SIB PPR Fluoroskopi Bagasi pada menu TLHI (Tindak Lanjut Hasil Inspeksi) di Sistem Balis Infara (https://balis-infara.bapeten.go.id) sebagai bukti tindak lanjut hasil inspeksi.&lt;br&gt;-Pelaku usaha segera melakukan perubahan KTUN rekomendasi izin dengan menyesuaikan data pekerja radiasi terbaru saat ini melalui BALIS Perizinan 2.5 dengan memenuhi persyaratan sesuai yang tertera dalam sistem.&lt;br /&gt;
 &lt;br /&gt;
 Untuk menutup temuan unggah KTUN perubahan rekomendasi izin yang telah terbit dari BALIS 2.5 yang sudah mencantumkan personel pekerja radiasi terbaru saat ini, melalui menu TLHI (Tindak Lanjut Hasil Inspeksi) di Sistem BALIS INFARA (https://balis-infara.bapeten.go.id) sebagai bukti tindak lanjut hasil inspeksi.&lt;br&gt;</t>
  </si>
  <si>
    <t>Petugas Proteksi Radiasi atas nama Ken Ade Wongso telah mendaftar pelatihan PPR X-Ray Bagasi di lembaga training CV Hikmat Proteksi Alara tanggal 8-10 Oktober 2026 (Training) &amp; 12-13 (Ujian)</t>
  </si>
  <si>
    <t>Mitra Usaha Katiga</t>
  </si>
  <si>
    <t>Komplek Billy &amp; Moon, Jalan Bintang Sakti Blok M1 No.6 RT 003 RW 010 Kel. Pondok Kelapa, Kec. Duren Sawit</t>
  </si>
  <si>
    <t>Komplek Billy &amp; Moon, Jalan Bintang Sakti Blok M1 No.6 RT 003 RW 010 Kel. Pondok Kelapa, Kec. Duren Sawit,Jakarta Timur,DKI Jakarta</t>
  </si>
  <si>
    <t>00127.01.08683.01.1.0626</t>
  </si>
  <si>
    <t>01.02.06</t>
  </si>
  <si>
    <t>Petugas tertentu bekerja tanpa SIB</t>
  </si>
  <si>
    <t>Terdapat pekerja radiasi baru an. Esa Fadhlika yang menggantikan pekerja yang sudah resign an. Muhammad Azis Arifudin.</t>
  </si>
  <si>
    <t>-Pelaku usaha agar mengajukan permohonan perubahan izin terkait perubahan pekerja radiasi melalui Balis 2.5. &lt;br /&gt;
 Untuk menutup temuan unggah Rekomendasi perubahan izin melalui menu TLHI (Tindak Lanjut Hasil Inspeksi) di Sistem Balis Infara (https://balis-infara.bapeten.go.id) sebagai bukti tindak lanjut hasil inspeksi. &lt;br&gt;</t>
  </si>
  <si>
    <t>Yth. Bapak/Ibu Verifikator,
 Bersama ini kami sampaikan tindak lanjut atas temuan inspeksi berupa Perubahan Rekomendasi Izin Radiologi Klinik Primera Clinica PT Mitra Usaha Katiga dengan menambahkan Personil Radiografer atas nama Esa Fadhlika sebagai pengganti radiografer sebelumnya atas nama Muhammad Azis Arifudin. Bukti Perubahan Rekomendasi Izin dari BAPETEN terlampir
 Terimakasih .</t>
  </si>
  <si>
    <t>BLU RSUD Wonosari Kabupaten Gunungkidul</t>
  </si>
  <si>
    <t>Jl. Taman Bhakti No. 6, Wonosari</t>
  </si>
  <si>
    <t>Jl. Taman Bhakti No. 6, Wonosari,Gunung Kidul,Daerah Istimewa Yogyakarta</t>
  </si>
  <si>
    <t>00232.01.00438.01.1.0726</t>
  </si>
  <si>
    <t>Fisikawan Medik a.n Susanti yang terdapat di RS belum tercantum dalam KTUN izin dan belum mendapatkan STR.</t>
  </si>
  <si>
    <t>-Pelaku Usaha agar memberikan kesempatan untuk melakukan pelatihan Fisikawan Medik dan mendapatkan pelatihan uji kendali kualitas.&lt;br /&gt;
 &lt;br /&gt;
 Unggah bukti pelatihan Fisikawan Medik tersebut melalui menu TLHI (Tindak Lanjut Hasil Inspeksi) di Sistem BALIS INFARA (https://balis-infara.bapeten.go.id) sebagai bukti tindak lanjut hasil inspeksi.&lt;br /&gt;
 &lt;br&gt;-Pelaku usaha agar melakukan perubahan izin terkait pekerja radiasi baru tersebut.&lt;br /&gt;
 &lt;br /&gt;
 Unggah KTUN Perubahan Izin tersebut melalui menu TLHI (Tindak Lanjut Hasil Inspeksi) di Sistem Balis Infara (https://balis-infara.bapeten.go.id) sebagai bukti tindak lanjut hasil inspeksi.&lt;br /&gt;
 &lt;br&gt;</t>
  </si>
  <si>
    <t>00176.01.01360.04.1.0726</t>
  </si>
  <si>
    <t>Kedokteran Nuklir</t>
  </si>
  <si>
    <t>01.03.05</t>
  </si>
  <si>
    <t>Terdapat pekerja radiasi melebihi NBD akibat kecelakaan kerja</t>
  </si>
  <si>
    <t>Terdapat pekerja radiasi pada kegiatan kedokteran nuklir atas nama Muhammad Kamil sebagai Radiofarmasis yang menerima dosis radiasi sebesar 46,55 mSv pada tahun 2025 akibat kesalahan dalam penggunaan TLD di luar apron.</t>
  </si>
  <si>
    <t>-RSUP Dr. M. Djamil Padang harus mengawasi penggunaan TLD secara benar saat Pekerja Radiasi melakukan tindakan di kedokteran nuklir&lt;br /&gt;
 &lt;br /&gt;
 Unggah Surat Komitmen yang menyatakan bahwa RSUP Dr. M. Djamil Padang akan melakukan pengawasan rutin oleh Petugas Proteksi Radiasi (PPR) terhadap penggunaan TLD serta mendokumentasikan hasil pengawasan saat Pekerja Radiasi melakukan tindakan kedokteran nuklir pada menu TLHI (Tindak Lanjut Hasil Inspeksi) Balis Infara&lt;br /&gt;
 (https://balis-infara.bapeten.go.id) sebagai bukti tindak lanjut hasil inspeksi.&lt;br&gt;-RSUP Dr. M. Djamil Padang Fasilitas kedokteran nuklir wajib melakukan pemantauan dosis pekerja radiasi untuk pekerja yang menggunakan TLD Badge secara rutin setiap tiga bulan sekali.&lt;br /&gt;
 &lt;br /&gt;
 Unggah Surat Komitmen pelaksanaan pemantauan dosis pekerja radiasi secara rutin yang ditandatangani manajemen dan Laporan Hasil Evaluasi TLD pekerja radiasi periode tiga bulan terakhir pada menu TLHI (Tindak Lanjut Hasil Inspeksi) BALIS INFARA (https://balis-infara.bapeten.go.id) sebagai bukti tindak lanjut hasil inspeksi.&lt;br&gt;</t>
  </si>
  <si>
    <t>SURAT PERNYATAAN KOMITMEN PENGAWASAN PENGGUNAAN TLD</t>
  </si>
  <si>
    <t>BLU Balai Pengamanan Alat dan Fasilitas Kesehatan Jakarta Ditjen Farmalkes Kementerian Kesehatan</t>
  </si>
  <si>
    <t>Jl. Percetakan Negara No. 23A, Kelurahan Johar Baru, Kec. Johar Baru</t>
  </si>
  <si>
    <t>Jl. Percetakan Negara No. 23A, Kelurahan Johar Baru, Kec. Johar Baru,Jakarta Pusat,DKI Jakarta</t>
  </si>
  <si>
    <t>00195.01.03732.11.1.0726</t>
  </si>
  <si>
    <t>Terdapat Pekerja Radiasi atas nama: M. Leo Eriyanto Yuliansyah (2023), Dandi Hambali (2023), Masayu Zuhro (2023 dan 2025), Riffatul Fatma (2023), Nur Aida (2024 dan 2025), Febrianto Harief (2024), Arief H (2024), Endang Supatmi (2025) yang mendapatkan dosis tahunan melebihi pembatas dosis yang ditetapkan dalam dokumen Program Proteksi sebesar 0,25 mSv/tahun.</t>
  </si>
  <si>
    <t>-BLU BPAFK Jakarta segera melakukan perubahan nilai pembatas dosis berdasarkan tren dosis yang diterima Pekerja Radiasi dalam dokumen Program Proteksi.&lt;br /&gt;
 &lt;br /&gt;
 Untuk menutup temuan, unggah bukti hasil revisi dokumen Program Proteksi tersebut pada menu TLHI (Tindak Lanjut Hasil Inspeksi) Balis Infara (https://balis-infara.bapeten.go.id) sebagai bukti tindak lanjut hasil inspeksi.&lt;br /&gt;
 &lt;br&gt;</t>
  </si>
  <si>
    <t>Global Onkolab Farma</t>
  </si>
  <si>
    <t>Jl. Rawagatel Blok III-S Kaveling 36, Kawasan Industri Pulogadung, Jatinegara, Cakung</t>
  </si>
  <si>
    <t>Jl. Rawagatel Blok III-S Kaveling 36, Kawasan Industri Pulogadung, Jatinegara, Cakung,Jakarta Timur,DKI Jakarta</t>
  </si>
  <si>
    <t>00245.01.14951.13.1.0826</t>
  </si>
  <si>
    <t>Produksi Radioisotop</t>
  </si>
  <si>
    <t>Hasil evaluasi OSL atas nama Muhammad Muliandi Bandaso periode Januari- Juni 2026 terbaca 3.584 mSv dan periode Januari- Desember 2025 terbaca 4.024 mSv, untuk OSL No. LA00347570W</t>
  </si>
  <si>
    <t>-Pelaku usaha agar melalukan konfirmasi ke lembaga dosis.&lt;br /&gt;
 &lt;br /&gt;
 Untuk menutup temuan unggah dokumen konfirmasi dari lembaga dosis ( greenova), melalui menu TLHI (Tindak Lanjut Hasil Inspeksi) di Sistem Balis Infara (https://balis-infara.bapeten.go.id) sebagai bukti tindak lanjut hasil inspeksi.&lt;br&gt;</t>
  </si>
  <si>
    <t>Pemberitahuan Proses Pendalaman Hasil Pemantauan Dosis Radiasi M. Muliandi Bandaso</t>
  </si>
  <si>
    <t>Recsalog Geoprima</t>
  </si>
  <si>
    <t>Jl. Ratna Niaga No. 16, Kotabaru Parahyangan, Padalarang</t>
  </si>
  <si>
    <t>Jl. Ratna Niaga No. 16, Kotabaru Parahyangan, Padalarang,Bandung,Jawa Barat</t>
  </si>
  <si>
    <t>00136.01.05748.07.1.0626</t>
  </si>
  <si>
    <t>Well Logging</t>
  </si>
  <si>
    <t>02.02.03</t>
  </si>
  <si>
    <t>Tidak memiliki PKSR</t>
  </si>
  <si>
    <t>PKZR untuk base Bandung belum tersedia penggantinya</t>
  </si>
  <si>
    <t>-Pelaku Usaha agar menyiapkan personil untuk mengikuti dan lulus pelatihan Petugas Keamanan Zat Radioaktif (PKZR) yang akan ditempatkan di base Bandung.&lt;br /&gt;
 &lt;br /&gt;
 Untuk menutup temuan, unggah bukti sertifikat PKZR terbaru melalui menu TLHI (Tindak Lanjut Hasil Inspeksi) di Sistem Balis Infara (https://balis-infara.bapeten.go.id) sebagai bukti tindak lanjut hasil inspeksi.&lt;br /&gt;
 &lt;br&gt;-Pelaku Usaha agar mengajukan perubahan KTUN melalui Balis Perizinan dengan melakukan penyesuaian personil sesuai kondisi di fasilitas.&lt;br /&gt;
 &lt;br /&gt;
 Untuk menutup temuan, unggah bukti KTUN terbaru melalui menu TLHI (Tindak Lanjut Hasil Inspeksi) di Sistem Balis Infara (https://balis-infara.bapeten.go.id) sebagai bukti tindak lanjut hasil inspeksi.&lt;br&gt;</t>
  </si>
  <si>
    <t>Kami sudah merevisi izin untuk mengganti PKZR atas nama Bambang Fahmi dengan Tjandra Juliawan dengan nomor registrasi 117171.26 nomor KTUN BPTN-KTUN-08782.708.3.210726</t>
  </si>
  <si>
    <t>BLU RSUD. Kabupaten Bangka Selatan</t>
  </si>
  <si>
    <t>Jl. Raya Gadung Desa Gadung Toboali</t>
  </si>
  <si>
    <t>Jl. Raya Gadung Desa Gadung Toboali,Bangka Selatan,Kepulauan Bangka Belitung</t>
  </si>
  <si>
    <t>00115.01.09116.01.1.0526</t>
  </si>
  <si>
    <t>02.02.04</t>
  </si>
  <si>
    <t>SIB pekerja radiasi telah habis masa berlaku</t>
  </si>
  <si>
    <t>SIB PPR a.n. Zyandika Permana masa berlakunya berakhir pada tanggal 14 September 2025.</t>
  </si>
  <si>
    <t>-Pelaku Usaha agar mengkondisikan PPR di fasilitas memiliki SIB yang berlaku.&lt;br /&gt;
 &lt;br /&gt;
 Untuk menutup temuan, unggah SIB PPR terbaru melalui menu TLHI (Tindak Lanjut Hasil Inspeksi) di Sistem Balis Infara (https://balis-infara.bapeten.go.id) sebagai bukti tindak lanjut hasil inspeksi.&lt;br&gt;</t>
  </si>
  <si>
    <t>PPR telah habis masa berlaku an. Andri Setiawan No.SIB : 438612.224.00.320821 berlaku s.d 31 Agustus 2025</t>
  </si>
  <si>
    <t>-Pelaku usaha agar menyediakan PPR dengan SIB yang masih berlaku. &lt;br /&gt;
 &lt;br /&gt;
 Untuk menutup temuan unggah SIB terbaru PPR melalui menu TLHI (Tindak Lanjut Hasil Inspeksi) di Sistem Balis Infara (https://balis-infara.bapeten.go.id) sebagai bukti tindak lanjut hasil inspeksi.&lt;br /&gt;
 &lt;br /&gt;
 &lt;br&gt;</t>
  </si>
  <si>
    <t>RSUP. Fatmawati</t>
  </si>
  <si>
    <t>Jl. TB Simatupang No.18, RT 4/RW 9, Cilandak Bar., Kec. Cilandak, Kota Jakarta Selatan, DKI Jakarta 12430</t>
  </si>
  <si>
    <t>Jl. TB Simatupang No.18, RT 4/RW 9, Cilandak Bar., Kec. Cilandak, Kota Jakarta Selatan, DKI Jakarta 12430,Jakarta Selatan,DKI Jakarta</t>
  </si>
  <si>
    <t>00189.01.01242.05.1.0726</t>
  </si>
  <si>
    <t>SIB PPR Sayid Mubarok akan berakhir Desember 2026, dan belum mengikuti pelatihan penyegaran PPR</t>
  </si>
  <si>
    <t>-Pelaku Usaha menyampaikan surat pernyataan/komitmen untuk melaksanakan pelatihan penyegaran PPR. Dalam hal pelatihan penyegaran tidak dapat dilakukan, agar menunjuk PPR yang baru.&lt;br&gt;-Pelaku Usaha agar mengunggah KTUN perubahan izin atas perubahan data pekerja radiasi.&lt;br&gt;</t>
  </si>
  <si>
    <t>KTUN Izin Operasional Radioterapi (penambahan personil pekerja radiasi)Pernyataan Komitmen Pemegang izin agustus 2026</t>
  </si>
  <si>
    <t>SIB PPR di fasilitas kedokteran nuklir atas nama Mursiyatun kadaluarsa pada 25 Juli 2025.</t>
  </si>
  <si>
    <t>-RSUP Dr. M. Djamil Padang agar memastikan bahwa Petugas Proteksi Radiasi (PPR) yang bekerja memiliki Surat Izin Bekerja (SIB) PPR yang masih berlaku sesuai ketentuan BAPETEN.&lt;br /&gt;
 Agar Rumah Sakit RSUP Dr. M. Djamil membuat surat komitmen bahwa PPR yang bekerja memiliki SIB yang berlaku sesuai ketentuan BAPETEN&lt;br /&gt;
 &lt;br /&gt;
 Unggah Surat Komitmen atau SIB PPR yang berlaku tersebut pada menu TLHI (Tindak Lanjut Hasil Inspeksi) Balis Infara (https://balis-infara.bapeten.go.id) sebagai bukti tindak lanjut hasil inspeksi.&lt;br&gt;-RSUP Dr. M. Djamil Padang segera melakukan proses perubahan KTUN rekomendasi izin lingkup Kedokteran nuklir dengan menyesuaikan data pekerja radiasi terbaru saat ini melalui BALIS Perizinan 2.5 dengan memenuhi persyaratan sesuai yang tertera dalam sistem.&lt;br /&gt;
 &lt;br /&gt;
 Unggah KTUN perubahan rekomendasi izin yang telah terbit dari Balis 2.5 yang sudah mencantumkan personel pekerja radiasi terbaru saat ini, melalui menu TLHI (Tindak Lanjut Hasil Inspeksi) di Sistem Balis Infara (https://balis-infara.bapeten.go.id) sebagai bukti tindak lanjut hasil inspeksi.&lt;br&gt;</t>
  </si>
  <si>
    <t>BUKTI PENDAFTARAN PELATIHAN PPRIZIN OPERASIONAL KN TERAPIIZIN OPERASIONAL KN IN VIVOIZIN OPERASIONAL KN IN VITROSURAT KOMITMEN DIREKTUR RS TENTANG PPR YANG BEKERJA HARUS PUNYA SIB</t>
  </si>
  <si>
    <t>00174.01.01360.05.1.0726</t>
  </si>
  <si>
    <t>SIB PPR di fasilitas radioterapi atas nama Rezky Agusta kadaluarsa pada 22 Mei 2025.</t>
  </si>
  <si>
    <t>-RSUP Dr. M. Djamil Padang agar memastikan bahwa Petugas Proteksi Radiasi (PPR) di fasilitas radioterapi yang bekerja memiliki Surat Izin Bekerja (SIB) PPR yang masih berlaku sesuai ketentuan BAPETEN.&lt;br /&gt;
 Agar Rumah Sakit RSUP Dr. M. Djamil membuat surat komitmen bahwa PPR yang bekerja memiliki SIB yang berlaku sesuai ketentuan BAPETEN dan/atau Unggah Surat Komitmen atau SIB PPR yang berlaku&lt;br /&gt;
 &lt;br /&gt;
 Unggah Surat Komitmen tersebut pada menu TLHI (Tindak Lanjut Hasil Inspeksi) Balis Infara (https://balis-infara.bapeten.go.id) sebagai bukti tindak lanjut hasil inspeksi.&lt;br&gt;-RSUP Dr. M. Djamil Padang segera melakukan perubahan KTUN rekomendasi izin lingkup Radioterapi dengan menyesuaikan data pekerja radiasi terbaru saat ini melalui BALIS Perizinan 2.5 dengan memenuhi persyaratan sesuai yang tertera dalam sistem.&lt;br /&gt;
 &lt;br /&gt;
 Unggah KTUN perubahan rekomendasi izin yang telah terbit dari BALIS 2.5 yang sudah mencantumkan personel pekerja radiasi terbaru saat ini, melalui menu TLHI (Tindak Lanjut Hasil Inspeksi) di Sistem BALIS INFARA (https://balis-infara.bapeten.go.id) sebagai bukti tindak lanjut hasil inspeksi.&lt;br&gt;</t>
  </si>
  <si>
    <t>SURAT PERNYATAAN KOMITMEN PEMENUHAN SIB PPR</t>
  </si>
  <si>
    <t>Personil PKZR a.n Agus Dani Yulianto belum pernah mengikuti penyegaran PKZR. Sertifikasi PKZR masih menggunakan pelatihan yang lama sehingga muncul data masa berlaku.</t>
  </si>
  <si>
    <t>-Mengikuti kegiatan penyegaran Petugas Keamanan Zat Radioaktif a.n Agus Dani Yulianto.&lt;br /&gt;
 &lt;br /&gt;
 Untuk menutup temuan, unggah sertifikat penyegaran PKZR a.n Agus Dani Yulianto melalui menu TLHI pada sistem Balis Infara 2.0 https://balis-infara.bapeten.go.id/ sebagai bukti tindak lanjut hasil inspeksi.&lt;br /&gt;
 &lt;br&gt;-Mengajukan perubahan izin dengan memasukkan pekerja radiasi yang belum tercantum di dalam KTUN.&lt;br /&gt;
 &lt;br /&gt;
 Untuk menutup temuan, unggah KTUN terbaru melalui menu TLHI pada sistem Balis Infara 2.0 https://balis-infara.bapeten.go.id/ sebagai bukti tindak lanjut hasil inspeksi.&lt;br /&gt;
 &lt;br&gt;</t>
  </si>
  <si>
    <t>Saudara Agus Dani Yulianto sudah mengikuti penyegaran Petukas Keamanan Zat Radioaktif (PKZR) pada tanggal 6-7 Agustus 2026 yang diselenggarakan oleh PT. Intergy Imdonesia , terlampir surat pemanggilan dari PT. Intergy Indonesia NO. 387/Intergy.TBIC/VII/26 dan sertifikat penyegaran PKZR dengan No. 0010/ INTERGY/PP-PKZR/2026.</t>
  </si>
  <si>
    <t>Terdapat Pekerja Radiasi atas nama Vira Luthfia Annisa selaku PPR Kesehatan yang habis masa berlaku SIB nya sejak 24 November 2025</t>
  </si>
  <si>
    <t>-BLU BPAFK Jakarta segera melakukan permohonan perubahan Rekomendasi Izin Perubahan Data PPR.&lt;br /&gt;
 &lt;br /&gt;
 Untuk menutup temuan, unggah KTUN perubahan Rekomendasi Izin Perubahan Data PPR pada menu TLHI (Tindak Lanjut Hasil Inspeksi) Balis Infara (https://balis-infara.bapeten.go.id) sebagai bukti tindak lanjut hasil inspeksi.&lt;br /&gt;
 &lt;br&gt;</t>
  </si>
  <si>
    <t>RSUD ODSK Provinsi Sulawesi Utara</t>
  </si>
  <si>
    <t>Jl. Bethesda 77, Kleak, Malalayang</t>
  </si>
  <si>
    <t>Jl. Bethesda 77, Kleak, Malalayang,Manado,Sulawesi Utara</t>
  </si>
  <si>
    <t>00054.01.13915.01.1.0426</t>
  </si>
  <si>
    <t>02.03.01</t>
  </si>
  <si>
    <t>Tidak memiliki dosimeter perorangan (TLD/Film Badge/dosimeter baca langsung)</t>
  </si>
  <si>
    <t>a. TLD Badge 1 (satu) pasang TLD Badge untuk setiap pekerja radiasi
 b. TLD Lensa mata 1 (satu) pasang untuk pekerja radiasi yang bekerja di Intervensional, baik Cathlab maupun C-Arm a.n:
 1) Dr. Hendra Toreh, Sp. Rad;
 2) Dr. Rangga, Sp. OT;
 3) Dr. Edmon, Sp. JP;
 4) Dr. Billy K, Sp.B;
 5) dr. Andre A, Sp. JP;
 6) Ns. Andreas Kutika;
 7) Rachel Moningka;</t>
  </si>
  <si>
    <t>-RSUD ODSK Provinsi Sulawesi Utara wajib:&lt;br /&gt;
 1) Menyediakan 1 (satu) pasang TLD Badge untuk tiap pekerja radiasi;&lt;br /&gt;
 2) Menyediakan 1 (satu) pasang TLD Lensa mata untuk pekerja radiasi yang bekerja di Intervensional;&lt;br /&gt;
 &lt;br /&gt;
 Unggah bukti penyediaan TLD Badge untuk tiap pekerja radiasi, TLD Lensa Mata pada menu TLHI (Tindak Lanjut Hasil Inspeksi) BALIS INFARA (https://balis-infara.bapeten.go.id) sebagai bukti tindak lanjut hasil inspeksi&lt;br /&gt;
 &lt;br&gt;-RSUD ODSK Provinsi Sulawesi Utara wajib:&lt;br /&gt;
 Melakukan pemantauan dosis pekerja radiasi yang menggunakan TLD Badge secara rutin per- tiga bulan.&lt;br /&gt;
 &lt;br /&gt;
 Unggah bukti evaluasi dosis TLD Badge pekerja radiasi periode tiga bulan terakhir pada menu TLHI (Tindak Lanjut Hasil Inspeksi) BALIS INFARA (https://balis-infara.bapeten.go.id) sebagai bukti tindak lanjut hasil inspeksi.&lt;br&gt;</t>
  </si>
  <si>
    <t>BLU RSUD Lanto Dg. Pasewang</t>
  </si>
  <si>
    <t>Jl. Lingkar No. 08 Kel. Empoang Kec. Binamu</t>
  </si>
  <si>
    <t>Jl. Lingkar No. 08 Kel. Empoang Kec. Binamu,Jeneponto,Sulawesi Selatan</t>
  </si>
  <si>
    <t>00074.01.04181.01.1.0426</t>
  </si>
  <si>
    <t>Pekerja radiasi hanya memiliki 1 unit TLD, sehingga pada saat TLD dievaluasi, pekerja radiasi tidak menggunakan TLD. Fasilitas RS juga masih belum memiliki TLD kontrol.</t>
  </si>
  <si>
    <t>-Pelaku Usaha agar melakukan pengadaan tambahan TLD Badge sesuai dengan temuan tersebut.&lt;br /&gt;
 &lt;br /&gt;
 Unggah bukti pengadaan TLD badge tersebut melalui menu TLHI (Tindak Lanjut Hasil Inspeksi) di Sistem Balis Infara (https://balis-infara.bapeten.go.id) sebagai bukti tindak lanjut hasil inspeksi.&lt;br /&gt;
 &lt;br&gt;-Pelaku Usaha agar membuat komitmen untuk melakukan evaluasi dosis secara rutin setiap 3 (tiga) bulan sekali.&lt;br /&gt;
 &lt;br /&gt;
 Unggah surat komitmen tersebut melalui menu TLHI (Tindak Lanjut Hasil Inspeksi) di Sistem Balis Infara (https://balis-infara.bapeten.go.id) sebagai bukti tindak lanjut hasil inspeksi.&lt;br /&gt;
 &lt;br&gt;</t>
  </si>
  <si>
    <t>SURAT PERMOHONAN TLD GANDA</t>
  </si>
  <si>
    <t>RSUP. Dr. Hasan Sadikin</t>
  </si>
  <si>
    <t>Jl. Pasteur No. 38</t>
  </si>
  <si>
    <t>Jl. Pasteur No. 38,Bandung,Jawa Barat</t>
  </si>
  <si>
    <t>00099.01.00287.01.1.0526</t>
  </si>
  <si>
    <t>Terdapat pekerja radiasi yang tidak menggunakan TLD, yaitu:
 a. Dr. Ferry Safriadi, dr.,Sp.U(K) (TLD hilang tahun 2025)
 b. dr. Gibran Tristan Alpharian, SP. OT (TLD hilang tahun 2022)
 c. dr. Abdul Kadir Hadar, Sp. OT (TLD hilang tahun 2022)</t>
  </si>
  <si>
    <t>-RSHS segera menyediakan TLD bagi pekerja radiasi yang tidak memiliki TLD.&lt;br /&gt;
 &lt;br /&gt;
 Untuk menutup temuan, unggah bukti pengadaan TLD tersebut pada menu TLHI (Tindak Lanjut Hasil Inspeksi) Balis Infara (https://balis-infara.bapeten.go.id) sebagai bukti tindak lanjut hasil inspeksi.&lt;br&gt;-RSHS segera membuat surat komitmen akan membacakan dosis TLD untuk seluruh pekerja radiasi.&lt;br /&gt;
 &lt;br /&gt;
 Untuk menutup temuan, unggah bukti surat komitmen tersebut pada menu TLHI (Tindak Lanjut Hasil Inspeksi) Balis Infara (https://balis-infara.bapeten.go.id) sebagai bukti tindak lanjut hasil inspeksi.&lt;br&gt;</t>
  </si>
  <si>
    <t>SPK Pembalian TLD TA 2026</t>
  </si>
  <si>
    <t>RSUD. Cililin</t>
  </si>
  <si>
    <t>Jl. Cinta Karya, Desa Cililin</t>
  </si>
  <si>
    <t>Jl. Cinta Karya, Desa Cililin,Bandung Barat,Jawa Barat</t>
  </si>
  <si>
    <t>00096.01.08422.01.1.0526</t>
  </si>
  <si>
    <t>TLD untuk dr. Elgie Aulia Syawala, Sp. Rad belum tersedia</t>
  </si>
  <si>
    <t>-Pelaku Usaha segera menyediakan TLD untuk dr. Elgie Aulia Syawala, Sp. Rad&lt;br /&gt;
 &lt;br /&gt;
 Untuk menutup temuan, unggah bukti pengadaan TLD tersebut pada menu TLHI (Tindak Lanjut Hasil Inspeksi) Balis Infara (https://balis-infara.bapeten.go.id) sebagai bukti tindak lanjut hasil inspeksi&lt;br&gt;-Pelaku Usaha segera menyampaikan hasil evaluasi dosis TLD periode Januari sd Maret 2026.&lt;br /&gt;
 &lt;br /&gt;
 Untuk menutup temuan, unggah bukti hasil evaluasi dosis TLD tersebut pada menu TLHI (Tindak Lanjut Hasil Inspeksi) Balis Infara (https://balis-infara.bapeten.go.id) sebagai bukti tindak lanjut hasil inspeksi&lt;br&gt;</t>
  </si>
  <si>
    <t>2. Upload hasil evaluasi dosis TLD periode Januari sd Maret 2026.
 Pengajuan TLD untuk dr. Elgie Aulia Syawala Sp. Rad masih dalam proses.Pengajuan TLD Badge untuk dr. Elgie Aulia Syawala Sp. Rad sudah di acc pimpinan. Sekaligus mengajukan TLD Badge untuk Miftahul Soheh, ST sebagai fisikawan medis.</t>
  </si>
  <si>
    <t>Perkumpulan Perhimpunan Santo Borromeus</t>
  </si>
  <si>
    <t>RSU Santo Borromeus, Jl. Ir. H. Juanda No. 100</t>
  </si>
  <si>
    <t>RSU Santo Borromeus, Jl. Ir. H. Juanda No. 100,Bandung,Jawa Barat</t>
  </si>
  <si>
    <t>00092.01.00573.01.1.0526</t>
  </si>
  <si>
    <t>Terdapat Perkerja radiasi baru atas nama Marlysa Helda Wahyuni (perawat Cathlab) yang belum memiliki TLD</t>
  </si>
  <si>
    <t>-RS Santo Borromeus segera menyediakan TLD bagi pekerja radiasi yang tidak memiliki TLD.&lt;br /&gt;
 &lt;br /&gt;
 Untuk menutup temuan, unggah bukti pengadaan TLD tersebut pada menu TLHI (Tindak Lanjut Hasil Inspeksi) Balis Infara (https://balis-infara.bapeten.go.id) sebagai bukti tindak lanjut hasil inspeksi.&lt;br&gt;-RS Santo Borromeus segera membuat kartu dosis untuk setiap pekerja radiasi periode tahun 2023 sd tahun 2025&lt;br /&gt;
 &lt;br /&gt;
 Untuk menutup temuan, unggah bukti kartu dosis tersebut pada menu TLHI (Tindak Lanjut Hasil Inspeksi) Balis Infara (https://balis-infara.bapeten.go.id) sebagai bukti tindak lanjut hasil inspeksi.&lt;br&gt;</t>
  </si>
  <si>
    <t>RSB - KARTU DOSIS RSB 2021-2025</t>
  </si>
  <si>
    <t>PPR an. Utiya Firdah belum dilengkapi TLD</t>
  </si>
  <si>
    <t>-Pelaku usaha agar segera mengadakan/membeli TLD yang baru untuk PPR yang belum memiliki TLD. Untuk menutup temuan unggah bukti kepemilikan TLD atau zero check an. Utiya Firdah melalui menu TLHI (Tindak Lanjut Hasil Inspeksi) di Sistem Balis Infara (https://balisinfara.bapeten.go.id) sebagai bukti tindak lanjut hasil inspeksi. &lt;br&gt;</t>
  </si>
  <si>
    <t>1. Telah dilaksanakan perbaikan dengan membeli TLD Baru untuk PPR atas nama Utiya Firdah (Bukti beli TLD terlampir)
 2. Telah dilaksanakan Hasil Uji Zero Check untuk TLD PPR atas nama Utiya Firdah (Bukti LHU Zero Check terlampir)</t>
  </si>
  <si>
    <t>KDS Indonesia</t>
  </si>
  <si>
    <t>Kawasan Berikat MM2100 Blok O-20, Gandamekar, Cikarang Barat</t>
  </si>
  <si>
    <t>Kawasan Berikat MM2100 Blok O-20, Gandamekar, Cikarang Barat,Bekasi,Jawa Barat</t>
  </si>
  <si>
    <t>00171.01.00070.08.1.0726</t>
  </si>
  <si>
    <t>Pekerja radiasi baru berjumlah 2 (dua) personel belum dilengkapi dengan TLD badge.</t>
  </si>
  <si>
    <t>-Kode Temuan 2.03.01&lt;br /&gt;
 Pelaku usaha agar menyediakan 2 (dua) TLD bagde untuk pekerja radiasi baru.&lt;br /&gt;
 &lt;br /&gt;
 Bukti kepemilikan atau pengadaan TLD bagi pekerja radiasi baru diunggah di Sistem Balis Infara (https://balis-infara.bapeten.go.id) pada menu TLHI (Tindak Lanjut Hasil Inspeksi) sebagai bukti tindak lanjut hasil inspeksi.&lt;br /&gt;
 &lt;br&gt;</t>
  </si>
  <si>
    <t>Laporan Hasil Uji (Zero Check) Pemantauan Dosis Perorangan Dengan Lencana TLD Nomor 288105/LT/PKR/06/2026 tanggal 15 Juni 2026 untuk pemakaian TLD Badge atas nama Yuditiya Agi Saputra dan Yulita Erdalia</t>
  </si>
  <si>
    <t>Anugerah Barokah Energi Baru</t>
  </si>
  <si>
    <t>Noble House 37th Floor, Jl. Mega Kuningan nomor 2 Jl. Dr. Ide Anak Agung Gde Agung Kav. E-4.2, Desa/Kelurahan Kuningan Timur, Kec. Setiabudi</t>
  </si>
  <si>
    <t>Noble House 37th Floor, Jl. Mega Kuningan nomor 2 Jl. Dr. Ide Anak Agung Gde Agung Kav. E-4.2, Desa/Kelurahan Kuningan Timur, Kec. Setiabudi,Jakarta Selatan,DKI Jakarta</t>
  </si>
  <si>
    <t>00182.01.16503.08.1.0726</t>
  </si>
  <si>
    <t>Untuk pekerja radiasi yang baru belum memiliki TLD badge.</t>
  </si>
  <si>
    <t>-Pelaku Usaha agar membuat surat pernyataan/komitmen terkait kewajiban melakukan evaluasi TLD badge setiap 3 bulan, dan melengkapi pekerja radiasi baru dengan TLD badge. &lt;br&gt;</t>
  </si>
  <si>
    <t>BLU RS Otak DR. Drs. M. Hatta Bukittinggi</t>
  </si>
  <si>
    <t>Jl. Jend. Sudirman</t>
  </si>
  <si>
    <t>Jl. Jend. Sudirman,Bukittinggi,Sumatera Barat</t>
  </si>
  <si>
    <t>00179.01.06144.01.1.0726</t>
  </si>
  <si>
    <t>Terdapat pekerja radiasi yang belum memiliki TLD namun telah bekerja dengan radiasi atas nama:
 1. Nurmajila (Radiografer)
 2. Yolan Rasta Kinaya (Radiografer)
 3. Luthfiyyah Ibtisamah (Radiografer)</t>
  </si>
  <si>
    <t>-BLU RS Otak DR. Drs. M. Hatta Bukittinggi wajib menyediakan TLD untuk pekerja radiasi.&lt;br /&gt;
 &lt;br /&gt;
 Untuk menutup temuan, unggah bukti dokumen pendukung pembelian TLD untuk ketiga pekerja radiasi tersebut melalui menu TLHI (Tindak Lanjut Hasil Inspeksi) di Sistem BALIS INFARA (https://balis-infara.bapeten.go.id) sebagai bukti tindak lanjut hasil inspeksi.&lt;br&gt;-BLU RS Otak DR. Drs. M. Hatta Bukittinggi wajib melakukan pemantauan dosis pekerja radiasi untuk pekerja yang menggunakan TLD Badge secara rutin setiap tiga bulan sekali. &lt;br /&gt;
 &lt;br /&gt;
 Untuk menutup temuan, unggah Surat Komitmen pelaksanaan pemantauan dosis pekerja radiasi secara rutin yang ditandatangani manajemen dan Laporan Hasil Evaluasi TLD pekerja radiasi periode tiga bulan terakhir pada menu TLHI (Tindak Lanjut Hasil Inspeksi) BALIS INFARA (https://balis-infara.bapeten.go.id) sebagai bukti tindak lanjut hasil inspeksi.&lt;br /&gt;
 &lt;br&gt;-BLU RS Otak DR. Drs. M. Hatta Bukittinggi membuat dokumentasi pencatatan hasil pembacaan dosis dari dosimeter baca langsung dan TLD mata pada penggunaan alat radiologi intervensional.&lt;br /&gt;
 &lt;br /&gt;
 Untuk menutup temuan, unggah kartu dosis hasil pembacaan dosimeter baca langsung dan TLD mata dan TLD ring seluruh pekerja radiasi melalui menu TLHI (Tindak Lanjut Hasil Inspeksi) Balis Infara (https://balis-infara.bapeten.go.id) sebagai bukti tindak lanjut hasil inspeksi.&lt;br /&gt;
 &lt;br&gt;</t>
  </si>
  <si>
    <t>Temuan 2.03.01 Point 2: Surat Komitmen pelaksanaan pemantauan dosis pekerja radiasi secara rutinTemuan 2.03.01 Point 2: Laporan Evaluasi TLD April-Juni 2026_RadiologiTemuan 2.03.01 Point 2: Laporan Evaluasi TLD April-Juni 2026_CathlabTemuan 2.03.01 Point 2: Laporan Evaluasi TLD Lensa Mata April-Juni 2026Temuan 2.03.01 Point 3: Kartu Dosis TLD Lensa MataTemuan 2.03.01 Point 1: Bukti pembelian TLD</t>
  </si>
  <si>
    <t>TLD Lensa Mata yang dimiliki oleh pekerja radiasi yang bekerja menggunakan pesawat radiologi intervensional hanya 1 (satu) buah a.n: 
 • dr. Eny Musarifah, Sp. Rad
 • dr. Eko Sumardiyono, Sp. OT
 • dr. Lothar Matheus Manson Vanende Silalahi, Sp.N
 • dr. Andro Diasmada, Sp.JP
 • Sri Lestari
 • Triningsih
 • Endah Kurniawati
 • Binurzan Bayu Kendra
 • Agustinus Sumartono
 • Tri Wibowo</t>
  </si>
  <si>
    <t>-Pelaku Usaha agar menyediakan 2 (dua) buah TLD Lensa Mata untuk pekerja radiasi yang bekerja menggunakan pesawat radiologi intervensional&lt;br /&gt;
 &lt;br /&gt;
 Unggah Bukti Kepemilikan TLD Lensa Mata sebanyak 2 (dua) buah tersebut melalui menu TLHI (Tindak Lanjut Hasil Inspeksi) di Sistem BALIS INFARA (https://balis-infara.bapeten.go.id) sebagai bukti tindak lanjut hasil inspeksi.&lt;br /&gt;
 &lt;br&gt;</t>
  </si>
  <si>
    <t>RSUP. Dr. Soeradji Tirtonegoro</t>
  </si>
  <si>
    <t>Jl. Dr. RT. Suradji Tirtonegoro No. 1</t>
  </si>
  <si>
    <t>Jl. Dr. RT. Suradji Tirtonegoro No. 1,Klaten,Jawa Tengah</t>
  </si>
  <si>
    <t>00233.01.03878.01.1.0726</t>
  </si>
  <si>
    <t>TLD Lensa mata belum dimiliki oleh seluruh pekerja radiasi yang terlibat dalam kegiatan intervensional, yaitu:
 • Terdapat 14 (empat belas) perawat yang belum memiliki TLD Lensa Mata;
 • Terdapat 17 (tujuh belas) radiografer yang belum dilengkapi dengan TLD Lensa Mata;</t>
  </si>
  <si>
    <t>-Pelaku Usaha agar menyediakan TLD Lensa Mata untuk pekerja radiasi yang bekerja menggunakan pesawat radiologi intervensional&lt;br /&gt;
 &lt;br /&gt;
 Unggah Bukti Kepemilikan TLD Lensa Mata untuk semua perawat dan radiografer yang bekerja menggunakan pesawat radiologi intervensional melalui menu TLHI (Tindak Lanjut Hasil Inspeksi) di Sistem BALIS INFARA (https://balis-infara.bapeten.go.id) sebagai bukti tindak lanjut hasil inspeksi.&lt;br /&gt;
 &lt;br /&gt;
 &lt;br&gt;</t>
  </si>
  <si>
    <t>Belum memiliki TLD untuk Pekerja Radiasi sehingga tidak ada pemantauan dosis radiasi untuk Pekerja Radiasi.</t>
  </si>
  <si>
    <t>-Pelaku Usaha agar melakukan pemantauan radiasi untuk setiap pekerja radiasi menggunakan peralatan dosis perorangan (TLD) dan berkomitmen untuk melakukan pemantauan dosis radiasi sesuai dengan ketentuan yang berlaku (3 bulan sekali).&lt;br /&gt;
 &lt;br /&gt;
 Untuk menutup temuan, unggah bukti tindak lanjut berupa:&lt;br /&gt;
 - Bukti pengadaan TLD untuk setiap pekeria radiasi&lt;br /&gt;
 - Surat Komitmen dari Pelaku Usaha untuk melakukan pemantauan dosis radiasi melalui menu TLHI (Tindak Lanjut Hasil Inspeksi) di Sistem Balis Infara https:// balis-infara. bapeten.go id sebagai bukti tindak lanjut hasil inspeksi&lt;br&gt;</t>
  </si>
  <si>
    <t>02.03.02</t>
  </si>
  <si>
    <t>Jumlah dosimeter perorangan tidak sesuai jumlah pekerja</t>
  </si>
  <si>
    <t>sebagian pekerja radiasi pada sub lingkup Radiologi Intervensional belum dilengkapi dengan TLD Lensa Mata</t>
  </si>
  <si>
    <t>-BLU RS. Tk. II. 03.05.01. Dustira / Kesdam III Siliwangi agar menyediakan TLD lensa mata untuk seluruh pekerja radiasi yang menggunakan alat Cathlab;&lt;br /&gt;
 &lt;br /&gt;
 Unggah bukti penyediaan TLD Lensa Mata dan zerocheck/daftar pengguna TLD Lensa Mata yang diterbitkan oleh laboratorium dosimetri pada menu TLHI (Tindak Lanjut Hasil Inspeksi) BALIS INFARA (https://balis-infara.bapeten.go.id) sebagai bukti tindak lanjut hasil inspeksi.&lt;br&gt;-BLU RS. Tk. II. 03.05.01. Dustira / Kesdam III Siliwangi agar&lt;br /&gt;
 a. Melaksanakan pemantauan dosis untuk seluruh pekerja radiasi;&lt;br /&gt;
 b. Berkomitmen melakukan Pemantauan Dosis untuk seluruh pekerja radiasi secara rutin per periode (3 bulan) dan menyimpan rekaman hasil Pemantauan Dosis Pekerja Radiasi hingga 30 tahun setelah yang bersangkutan berhenti bekerja.&lt;br /&gt;
 &lt;br /&gt;
 Unggah Surat Komitmen dari Direktur untuk melakukan Pemantauan Dosis secara rutin pada menu TLHI (Tindak Lanjut Hasil Inspeksi) BALIS INFARA (https://balis-infara.bapeten.go.id) sebagai bukti tindak lanjut hasil inspeksi.&lt;br&gt;</t>
  </si>
  <si>
    <t>Prisindo Mitra Utama</t>
  </si>
  <si>
    <t>Jl Siak Blok J-5 / 14 RT 001/007 Jakarta Utara, DKI Jakarta</t>
  </si>
  <si>
    <t>Jl Siak Blok J-5 / 14 RT 001/007 Jakarta Utara, DKI Jakarta,Jakarta Utara,DKI Jakarta</t>
  </si>
  <si>
    <t>00129.01.08626.01.1.0626</t>
  </si>
  <si>
    <t>Pekerja radiasi atas nama Evan Hermawan belum dilengkapi TLD badge</t>
  </si>
  <si>
    <t>-Pelaku usaha harus mengadakan/membeli TLD yang baru untuk Pekerja yang belum memiliki TLD.&lt;br /&gt;
 Untuk menutup temuan unggah bukti kepemilikan TLD atau zero check an. Evan Hermawan, melalui menu TLHI (Tindak Lanjut Hasil Inspeksi) di Sistem Balis Infara (https://balis-infara.bapeten.go.id) sebagai bukti tindak lanjut hasil inspeksi. &lt;br&gt;-Pelaku usaha membuat surat komitmen akan Melakukan evaluasi TLD secara rutin setiap tiga bulan sekali dan di tandatangan oleh manajemen.&lt;br /&gt;
 Untuk menutup temuan unggah surat komitmen melalui menu TLHI (Tindak Lanjut Hasil Inspeksi) di Sistem Balis Infara (https://balis-infara.bapeten.go.id) sebagai bukti tindak lanjut hasil inspeksi. &lt;br&gt;-Menyediakan kartu dosis untuk hasil pembacaan evaluasi TLD.&lt;br /&gt;
 Untuk menutup temuan unggah kartu dosis melalui menu TLHI (Tindak Lanjut Hasil Inspeksi) di Sistem Balis Infara (https://balis-infara.bapeten.go.id) sebagai bukti tindak lanjut hasil inspeksi. &lt;br&gt;</t>
  </si>
  <si>
    <t>TLD Zero Check an. Evan HermawanSurat Komitmen Evaluasi TLDKartu Dosis</t>
  </si>
  <si>
    <t>Berdasarkan inspeksi di lapangan RSUD Dr. Achmad Mochtar Bukittinggi Fasilitas Radiologi Diagnostik dan Intervensional terdapat pekerja radiasi atas nama Teti Suarni hanya memiliki 1 buah TLD.</t>
  </si>
  <si>
    <t>-RSUD Dr. Achmad Mochtar Bukittinggi Fasilitas Radiologi Diagnostik dan Intervensional wajib menyediakan TLD sebanyak 2 buah untuk setiap pekerja radiasi. &lt;br /&gt;
 Untuk menutup temuan, unggah bukti pembelian TLD terbaru pekerja radiasi atas nama Teti Suarni pada menu TLHI (Tindak Lanjut Hasil Inspeksi) BALIS INFARA (https://balisinfara.bapeten.go.id) sebagai bukti tindak lanjut hasil inspeksi.&lt;br /&gt;
 &lt;br&gt;-RSUD Dr. Achmad Mochtar Bukittinggi Fasilitas Radiologi Diagnostik dan Intervensional wajib melakukan pemantauan dosis pekerja radiasi untuk pekerja yang menggunakan TLD Badge secara rutin setiap tiga bulan sekali. &lt;br /&gt;
 Unggah Surat Komitmen pelaksanaan pemantauan dosis pekerja radiasi secara rutin yang ditandatangani direktur dan Laporan Hasil Evaluasi TLD pekerja radiasi periode tiga bulan terakhir pada menu TLHI (Tindak Lanjut Hasil Inspeksi) BALIS INFARA (https://balisinfara.bapeten.go.id) sebagai bukti tindak lanjut hasil inspeksi.&lt;br /&gt;
 &lt;br&gt;-Fasilitas radiologi intervensional RSUD Dr. Achmad Mochtar Bukittinggi telah memiliki 2 (dua) unit dosimeter baca langsung, namun belum digunakan dalam pelaksanaan kegiatan operasional di fasilitas radiologi intervensional RSUD Dr. Achmad Mochtar Bukittinggi wajib : &lt;br /&gt;
 a. Pekerja radiasi wajib menggunakan dosimeter baca langsung pada setiap pelaksanaan kegiatan radiologi intervensional. &lt;br /&gt;
 b. Melakukan pemantauan dosis Pekerja Radiasi menggunakan dosimeter baca langsung (pendose) secara rutin &lt;br /&gt;
 c. Mendokumentasikan hasil pemantauan dosis menggunakan dosimeter baca langsung, dalam bentuk log book atau kartu dosis dosimeter baca langsung.&lt;br /&gt;
  Untuk menutup temuan, RSUD Dr. Achmad Mochtar Bukittinggi wajib menyampaikan: &lt;br /&gt;
 a. Bukti pendukung berupa foto yang menunjukkan penggunaan dosimeter baca langsung oleh Pekerja Radiasi selama pelaksanaan kegiatan di fasilitas radiologi intervensional. &lt;br /&gt;
 b. Log book pemantauan dosis Pekerja Radiasi menggunakan dosimeter baca langsung secara rutin dan mendokumentasikan hasil pemantauan dosis tersebut dalam bentuk kartu dosis atau dokumen lain yang setara. Unggah dokumen tersebut melalui menu TLHI (Tindak Lanjut Hasil Inspeksi) di Sistem BALIS INFARA (https://balisinfara.bapeten.go.id) sebagai bukti tindak lanjut hasil inspeksi.&lt;br /&gt;
 &lt;br&gt;</t>
  </si>
  <si>
    <t>Surat Komitmen pelaksanaan pemantauan dosis pekerja radiasi secara rutinLaporan Hasil Evaluasi TLD pekerja radiasi periode tiga bulan terakhir Bukti pendukung berupa foto yang menunjukkan penggunaan dosimeter baca langsung oleh Pekerja Radiasi Log book pemantauan dosis Pekerja Radiasi menggunakan dosimeter baca langsung secara rutinBukti pembelian TLD terbaru pekerja radiasi atas nama Teti SuarniBukti pembelian TLD terbaru pekerja radiasi atas nama Teti SuarniLaporan Hasil Evaluasi TLD pekerja radiasi periode tiga bulan terakhir</t>
  </si>
  <si>
    <t>Jumlah TLD yang dimiliki hanya sebanyak 8 unit (4 pasang: 3 untuk PR dan 1 untuk Kontrol). TLD an Muhammad Hakim, Rudi Gunawan dan Nur Hamidah belum disediakan.</t>
  </si>
  <si>
    <t>-Pelaku Usaha agar menyediakan peralatan pemantauan dosis perorangan untuk setiap pekerja radiasi.&lt;br /&gt;
 &lt;br /&gt;
 Untuk menutup temuan, unggah bukti tindak lanjut berupa bukti pembelian/pengadaan peralatan pemantauan dosis perorangan sesuai jumlah personil, melalui menu TLHI&lt;br /&gt;
 (Tindak I-anjut Hasil Inspeksi) Di Sistem Balls Infara (https://balis-infara. bapeten.go.id) sebagai bukti tindak lanjut hasil inspeksi.&lt;br&gt;-Pelaku Usaha agar melakukan evaluasi terhadap TLD badge untuk periode Maret–Mei 2A26.&lt;br /&gt;
 &lt;br /&gt;
 Untuk menutup temuan, unggah bukti tindak lanjut berupa hasil evaluasi pembacaan/evaluasi TLD badge periode Maret–Mei 2026 melalui menu TLHI (Tindak Lanjut Hasil Inspeksi) di Sistem Balis Infara (https://balis-infara. bapeten.go.id) sebagai bukti tindak lanjut hasil inspeksi.&lt;br&gt;</t>
  </si>
  <si>
    <t>Pembelian TLD atas nama Nur Hamidah, Rudy Gunawan dan Muhammad Hakim</t>
  </si>
  <si>
    <t>02.03.03</t>
  </si>
  <si>
    <t>Tidak melakukan evaluasi TLD/film badge secara berkala</t>
  </si>
  <si>
    <t>Tidak rutin melakukan pemantauan dosis pekerja radiasi</t>
  </si>
  <si>
    <t>-Rumah Sakit Bhayangkara Tk.III Manado wajib melakukan pemantauan dosis pekerja radiasi secara rutin setiap tiga bulan sekali. &lt;br /&gt;
 &lt;br /&gt;
 Unggah Surat Komitmen pelaksanaan pemantauan dosis pekerja radiasi secara rutin yang ditandatangani manajemen dan Laporan Hasil Evaluasi TLD pekerja radiasi periode tiga bulan terakhir pada menu TLHI (Tindak Lanjut Hasil Inspeksi) BALIS INFARA (https://balis-infara.bapeten.go.id) sebagai bukti tindak lanjut hasil inspeksi.&lt;br /&gt;
 &lt;br /&gt;
 &lt;br&gt;</t>
  </si>
  <si>
    <t>Belum melaksanakan pemantauan dosis pekerja radiasi yang menggunakan TLD Badge secara rutin per tiga bulan.</t>
  </si>
  <si>
    <t>00067.01.00475.04.1.0426</t>
  </si>
  <si>
    <t>Terdapat pekerja radiasi yang belum melaksanakan pemantauan dosis pekerja radiasi atas nama :
 1. apt. Esther Karina Naomi Tandayu, S.Farm (penggunaan TLD Badge dan TLD ring);
 2. Yolanda Prysca Walangitan (Perawat);
 3. dr. Arlene Angelina, M.Sc, Sp.KNTM</t>
  </si>
  <si>
    <t>-BLU RSUP. Prof. Dr. R.D. Kandou Manado wajib melakukan pemantauan dosis pekerja radiasi secara rutin setiap tiga bulan sekali. &lt;br /&gt;
 &lt;br /&gt;
 Unggah Surat Komitmen pelaksanaan pemantauan dosis pekerja radiasi secara rutin yang ditandatangani manajemen dan Laporan Hasil Evaluasi TLD pekerja radiasi periode tiga bulan terakhir pada menu TLHI (Tindak Lanjut Hasil Inspeksi) BALIS INFARA (https://balis-infara.bapeten.go.id) sebagai bukti tindak lanjut hasil inspeksi.&lt;br /&gt;
 &lt;br&gt;</t>
  </si>
  <si>
    <t>terlampir hasil evaluasi TLD terbaru dan surat komitmen</t>
  </si>
  <si>
    <t>BLU RSUP. Prof. Dr. R.D. Kandou Manado Fasilitas Radiologi Diagnostik dan Intervensional tidak rutin melakukan pemantauan dosis pekerja radiasi dan tidak dapat menunjukkan hasil pemantauan dosis pekerja radiasi</t>
  </si>
  <si>
    <t>-BLU RSUP. Prof. Dr. R.D. Kandou Manado Fasilitas Radiologi Diagnostik dan Intervensional wajib melakukan pemantauan dosis pekerja radiasi untuk pekerja yang menggunakan TLD Badge secara rutin setiap tiga bulan sekali.&lt;br /&gt;
 Unggah Surat Komitmen pelaksanaan pemantauan dosis pekerja radiasi secara rutin yang ditandatangani manajemen dan Laporan Hasil Evaluasi TLD pekerja radiasi periode tiga bulan terakhir pada menu TLHI (Tindak Lanjut Hasil Inspeksi) BALIS INFARA (https://balis-infara.bapeten.go.id) sebagai bukti tindak lanjut hasil inspeksi.&lt;br&gt;</t>
  </si>
  <si>
    <t>PT. Conch North Sulawesi Cement tidak melakukan pemantauan dosis secara rutin</t>
  </si>
  <si>
    <t>-PT. Conch North Sulawesi Cement wajib melakukan evaluasi pemantauan dosis pekerja radiasi secara rutin. Oleh karena PT. Conch North Sulawesi Cement untuk membuat surat pernyataan yang berisi komitmen bahwa akan melakukan pemantauan dosis untuk setiap pekerja radiasi secara rutin 3 (tiga) bulan sekali ke lembaga dosimetri yang ditandatangani oleh Direktur PT. Conch North Sulawesi Cement.&lt;br /&gt;
 &lt;br /&gt;
 Unggah surat komitmen tersebut pada menu TLHI (Tindak Lanjut Hasil Inspeksi) BALIS INFARA (https://balis-infara.bapeten.go.id) sebagai bukti tindak lanjut hasil inspeksi.&lt;br /&gt;
 &lt;br&gt;</t>
  </si>
  <si>
    <t>Telah dibuatkan kembali komitmen untuk pemantauan dosis pekerja radiasi setiap bulan sekali menggunakan OSL</t>
  </si>
  <si>
    <t>Hasil pemantauan dosis radiasi terakhir yang dapat ditunjukkan pada periode Januari - Maret 2025.</t>
  </si>
  <si>
    <t>SURAT KOMITMEN DIREKTUR RUTIN ANALISIS EVALUASI DOSIS DAN SURAT PERMOHONAN TLD GANDA</t>
  </si>
  <si>
    <t>Tidak terdapat hasil pembacaan TLD tahun 2025, yaitu:
 a. Dr. Gezy Weita Giwangkancana, Sp.An 
 b. Dr. Charlotte Johanna Cool, Sp.JP
 c. Dr. dr. Mohammad Iqbal, MKes., AIFO., SpJP(K)</t>
  </si>
  <si>
    <t>Registrasi Pekerja Radiasi sehingga terdaftar di Bapeten. Tahun 2025 sudah ada hasil di BPAFK, tetapi saat input di sistem Balis Pendora ditolak dengan alasan terdapat Pekerja Radiasi yang belum terregistrasi (belum ada NPR). Untuk Tahun 2025 sampai periode Pemakaian bulan November 2025 - Januari 2026 sudah ada.</t>
  </si>
  <si>
    <t>Rock Fluid Imaging Lab</t>
  </si>
  <si>
    <t>Jl. Golf Timur IX No. 9, Sukamiskin, Arcamanik</t>
  </si>
  <si>
    <t>Jl. Golf Timur IX No. 9, Sukamiskin, Arcamanik,Bandung,Jawa Barat</t>
  </si>
  <si>
    <t>00098.01.11466.20.1.0526</t>
  </si>
  <si>
    <t>TLD tidak dibacakan secara periodik setiap 3 (tiga) bulannya.</t>
  </si>
  <si>
    <t>-Pelaku Usaha segera membuat Surat Komitmen untuk membacakan TLD setiap 3 (tiga) bulannya.&lt;br /&gt;
 &lt;br /&gt;
 Untuk menutup temuan, unggah bukti Surat Komitmen tersebut pada menu TLHI (Tindak Lanjut Hasil Inspeksi) Balis Infara (https://balis-infara.bapeten.go.id) sebagai bukti tindak lanjut hasil inspeksi&lt;br&gt;-Pelaku Usaha segera membuat Kartu Dosis untuk setiap pekerja radiasi.&lt;br /&gt;
 &lt;br /&gt;
 Untuk menutup temuan, unggah bukti Kartu Dosis tersebut pada menu TLHI (Tindak Lanjut Hasil Inspeksi) Balis Infara (https://balis-infara.bapeten.go.id) sebagai bukti tindak lanjut hasil inspeksi&lt;br&gt;</t>
  </si>
  <si>
    <t>Surat KomitmenSurat Komitmen Pembacaan Zero Check TLD dan Kartu dosis pekerja Radiasi</t>
  </si>
  <si>
    <t>Proteindo Karyasehat</t>
  </si>
  <si>
    <t>Jl. Jenderal Ahmad Yani, Bekasi</t>
  </si>
  <si>
    <t>Jl. Jenderal Ahmad Yani, Bekasi,,Seluruh Indonesia</t>
  </si>
  <si>
    <t>00097.01.00507.05.1.0526</t>
  </si>
  <si>
    <t>TLD pemakaian periode Januari - Maret 2026 belum dapat ditunjukkan hasil evaluasi dosisnya. Saat ini pekerja radiasi menggunakan TLD periode pemakaian April - Juni 2026</t>
  </si>
  <si>
    <t>-Pelaku Usaha segera menyampaikan hasil evaluasi dosis TLD periode Januari – Maret 2026 &lt;br /&gt;
 &lt;br /&gt;
 Untuk menutup temuan, unggah hasil evaluasi dosis TLD pada menu TLHI (Tindak Lanjut Hasil Inspeksi) Balis Infara (https://balis-infara.bapeten.go.id) sebagai bukti tindak lanjut hasil inspeksi.&lt;br&gt;-Pelaku Usaha segera membuat kartu dosis untuk setiap pekerja radiasi.&lt;br /&gt;
 &lt;br /&gt;
 Untuk menutup temuan, unggah kartu dosis untuk setiap pekerja radiasi pada menu TLHI (Tindak Lanjut Hasil Inspeksi) Balis Infara (https://balis-infara.bapeten.go.id) sebagai bukti tindak lanjut hasil inspeksi.&lt;br&gt;</t>
  </si>
  <si>
    <t>Upload bukti hasil pembacaan TLD Periode Jan-Maret 2026
 Upload bukti scan kartu dosis pekerja radiasi</t>
  </si>
  <si>
    <t>Februari - April 2022
 Mei - Juli 2022
 Agustus - Oktober 2022
 November 2022 - Januari 2023 : tidak ada
 Februari - April 2023
 Mei - Juli 2023
 Agustus - September 2023 : tidak ada
 November 2024 - Januari 2025
 Februari - April 2025
 Mei - Agustus 2025 : tidak ada
 September - November 2025</t>
  </si>
  <si>
    <t>Pelaksanaan evaluasi dosis terakhir dilakukan periode Mei-Juli 2025.</t>
  </si>
  <si>
    <t>-Pelaku Usaha wajib untuk melaksanakan evaluasi dosis secara rutin setiap 3 (tiga) bulan sekali. Agar membuat Surat Pernyataan yang ditandatangani Direktur untuk melaksanakan evaluasi dosis secara rutin.&lt;br /&gt;
 &lt;br /&gt;
 Untuk menutup temuan, unggah bukti berupa:&lt;br /&gt;
 - Surat Komitmen dari Direktur; dan&lt;br /&gt;
 - hasil evaluasi dosis terbaru.&lt;br /&gt;
 melalui menu TLHI (Tindak Lanjut Hasil Inspeksi) di Sistem Balis Infara (https://balis-infara.bapeten.go.id) sebagai bukti tindak lanjut hasil inspeksi.&lt;br&gt;</t>
  </si>
  <si>
    <t>Pada tahun 2025, TLD tidak dilakukan evaluasi secara rutin setiap tiga bulan. Periode 2026 tidak dilakukan evaluasi TLD periode bulan Desember 2025-Februari 2026.</t>
  </si>
  <si>
    <t>Surat Komitmen - Melakukan evaluasi TLD setiap 3 bulan sekali</t>
  </si>
  <si>
    <t>Pada bulan Juni 2026, Pekerja radiasi atas nama Sastrawan P dan Anthony Simanjutak masih menggunakan TLD periode pemakaian Maret - Mei 2026 yang seharusnya sudah dievaluasi. TLD sebelumnya yaitu periode Des 2025 - Feb 2026 baru dikirim untuk evaluasi pada tanggal 8 Juni 2026.</t>
  </si>
  <si>
    <t>-Pelaku Usaha agar mengajukan evaluasi TLD tepat waktu.&lt;br /&gt;
 &lt;br /&gt;
 Untuk menutup temuan, unggah bukti komitmen untuk melakukan evaluasi dosis tepat waktu melalui menu TLHI (Tindak Lanjut Hasil Inspeksi) di Sistem Balis Infara (https://balis-infara.bapeten.go.id) sebagai bukti tindak lanjut hasil inspeksi.&lt;br&gt;</t>
  </si>
  <si>
    <t>Evaluasi TLD An. Anthoni Simanjuntak dan Sastrawan Des 2025 - Feb 2026 dan Evaluasi TL Mar-Mei 2026</t>
  </si>
  <si>
    <t>Belum dapat menunjukkan bukti hasil pemantauan dosis perorangan pekerja radiasi pada periode penggunanaan Juli-September 2025 atas nama: Suhendra, ST.; Daffa Azhar Zakiyah; Budi Rahmat;Budi Suhadi; dan Tasmet Thaher.</t>
  </si>
  <si>
    <t>-Pelaku Usaha agar mengupayakan untuk menyediakan hasil pemantauan dosis perorangan pekerja radiasi pada periode Juli-September 2025 atas nama: Suhendra, ST.; Daffa Azhar Zakiyah; Budi Rahmat;Budi Suhadi; dan Tasmet Thaher.&lt;br /&gt;
 &lt;br /&gt;
 Untuk menutup temuan, unggah bukti laporan hasil uji pemantauan dosis melalui menu TLHI (Tindak Lanjut Hasil Inspeksi) di Sistem Balis Infara (https://balis-infara.bapeten.go.id) sebagai bukti tindak lanjut hasil inspeksi.&lt;br&gt;</t>
  </si>
  <si>
    <t>Bukti Laporan hasil uji pemantauan dosis</t>
  </si>
  <si>
    <t>Heinz ABC Indonesia</t>
  </si>
  <si>
    <t>Jl. Daan Mogot KM 12 RT 008 RW 08, Kedaung Kaliangke</t>
  </si>
  <si>
    <t>Jl. Daan Mogot KM 12 RT 008 RW 08, Kedaung Kaliangke,Jakarta Barat,DKI Jakarta</t>
  </si>
  <si>
    <t>00131.01.07553.12.1.0626</t>
  </si>
  <si>
    <t>TLD badge untuk periode awal tahun 2026 belum dikirim ke Lab Dosis untuk dievaluasi</t>
  </si>
  <si>
    <t>-Pelaku Usaha segera mengevaluasi TLD badge untuk periode awal tahun 2026.&lt;br /&gt;
 &lt;br /&gt;
 Untuk menutup temuan, unggah bukti hasil evaluasi dosis periode awal tahun 2026 melalui menu TLHI (Tindak Lanjut Hasil Inspeksi) di Sistem Balis Infara (https://balis-infara.bapeten.go.id) sebagai bukti tindak lanjut hasil inspeksi.&lt;br /&gt;
 &lt;br&gt;</t>
  </si>
  <si>
    <t>Tidak dapat menunjukan hasil evaluasi dosis TLD dari Agustus 2025 hingga April 2026. Hasil evaluasi TLD pekerja radiasi untuk 3 (tiga) periode pemakaian TLD (periode Agustus s.d Oktober 2025, November 2025 s.d Januari 2026; Februari s.d April 2026) belum diterima dari BPAFK Jakarta</t>
  </si>
  <si>
    <t>-Pelaku Usaha melakukan konfirmasi ke BPAFK Jakarta terkait dengan hasil evaluasi TLD pekerja radiasi untuk 3 (tiga) periode pemakaian TLD yang belum diterima oleh RSUD Cilegon.&lt;br /&gt;
 &lt;br /&gt;
 Untuk menutup temuan, unggah bukti hasil konfirmasi dari BPAFK Jakarta terkait dengan hasil evaluasi TLD pekerja radiasi untuk 3 (tiga) periode pemakaian TLD yang belum diterima pihak RSUD Cilegon melalui menu TLHI (Tindak Lanjut Hasil Inspeksi) di Sistem Balis Infara (https://balisinfara.bapeten.go.id) sebagai bukti tindak lanjut hasil inspeksi.&lt;br&gt;</t>
  </si>
  <si>
    <t>TITIAN LANCAR ABADI</t>
  </si>
  <si>
    <t>KP. Gunung Buntu , RT/RW 005/003,Banyuwangi, Pulo Ampel</t>
  </si>
  <si>
    <t>KP. Gunung Buntu , RT/RW 005/003,Banyuwangi, Pulo Ampel,Serang,Banten</t>
  </si>
  <si>
    <t>00151.01.14844.06.1.0626</t>
  </si>
  <si>
    <t>Tidak tersedia hasil evaluasi dosis pekerja sejak periode Januari - Maret 2024. TLD tidak dikirim ke laboratorium dosimetri eksterna untuk dievaluasi</t>
  </si>
  <si>
    <t>-Pelaku Usaha melakukan pembacaan TLD ke laboratorium uji yang terkreditasi atau ditunjuk oleh BAPETEN.&lt;br /&gt;
 &lt;br /&gt;
 &lt;br /&gt;
 Untuk menutup temuan, unggah bukti hasil pembacaan TLD atau surat pengantar pembacaan TLD melalui menu TLHI (Tindak Lanjut Hasil Inspeksi) di Sistem Balis Infara (https://balis-infara.bapeten.go.id) sebagai bukti tindak lanjut hasil inspeksi&lt;br&gt;</t>
  </si>
  <si>
    <t>Pelaku usaha telah menyampaikan permohonan evaluasi 46 (empat puluh enam) badge TLD pada bulan Februari ke BPFK untuk periode penggunaan TLD dari November 2025 – Januari 2026, namun sampai saat ini hasil evaluasi dosis belum dikirimkan.</t>
  </si>
  <si>
    <t>-Kode Temuan 2.03.03&lt;br /&gt;
 Pelaku usaha agar konfirmasi kembali ke BPFK untuk menanyakan hasil evaluasi 46 (empat puluh enam) badge TLD untuk periode penggunaan TLD dari November 2025 – Januari 2026.&lt;br /&gt;
 &lt;br /&gt;
 Bukti hasil evaluasi 46 (empat puluh enam) badge TLD dari BPFK untuk periode penggunaan TLD dari November 2025 – Januari 2026 diunggah di Sistem Balis Infara (https://balis-infara.bapeten.go.id) pada menu TLHI (Tindak Lanjut Hasil Inspeksi) sebagai bukti tindak lanjut hasil inspeksi.&lt;br /&gt;
 &lt;br&gt;</t>
  </si>
  <si>
    <t>Tidak melakukan evaluasi TLD secara berkala. pembacaan evaluasi dosis pekerja radiasi terakhir periode nov 2025 - jan 2026. untuk tahun 2024 dan 2023 tidak ada pembacaan evaluasi dosis</t>
  </si>
  <si>
    <t>-Kode Temuan 2.03.03&lt;br /&gt;
 Pelaku Usaha menyampaikan surat pernyataan komitmen untuk melakukan evaluasi dosis personel pekerja radiasi pada TLD Badge secara berkala.&lt;br /&gt;
 &lt;br /&gt;
 Surat pernyataan komitmen Pelaku Usaha untuk melakukan evaluasi dosis personel pekerja radiasi pada TLD Badge secara berkala (paling kurang 3 (tiga) bulan sekali) agar diunggah di Sistem Balis Infara (https://balis-infara.bapeten.go.id) melalui menu TLHI (Tindak Lanjut Hasil Inspeksi) sebagai bukti tindak lanjut hasil inspeksi.&lt;br /&gt;
 &lt;br /&gt;
 &lt;br&gt;-Kode Temuan 3.03.04&lt;br /&gt;
 Pelaku Usaha harus membuat rekaman hasil pembacaan dosimeter aktif (pendose).&lt;br /&gt;
 &lt;br /&gt;
 Rekaman hasil pembacaan dosimeter aktif (pendose) diunggah di Sistem Balis Infara (https://balis-infara.bapeten.go.id) melalui menu TLHI (Tindak Lanjut Hasil Inspeksi) sebagai bukti tindak lanjut hasil inspeksi.&lt;br /&gt;
 &lt;br&gt;</t>
  </si>
  <si>
    <t>2. Pembacaan Dosimeter Aktif</t>
  </si>
  <si>
    <t>00164.01.02944.04.1.0626</t>
  </si>
  <si>
    <t>Pemantauan paparan internal belum dilakukan (urin atau darah).</t>
  </si>
  <si>
    <t>-Agar Pelaku Usaha melakukan pemantauan paparan internal terhadap pekerja radiasi yang berpotensi terkena kontaminasi.&lt;br /&gt;
 Untuk menutup temuan, pelaku usaha mengunggah komitmen untuk melakukan paparan radiasi internal.&lt;br&gt;</t>
  </si>
  <si>
    <t>Nilai pembatas dosis belum dilakukan evaluasi sesuai dengan penerimaan dosis tahunan pekerja radiasi rata-rata.</t>
  </si>
  <si>
    <t>-Agar Pelaku Usaha melakukan evaluasi dan memperbaiki nilai pembatas dosis.&lt;br /&gt;
 Untuk menutup temuan, pelaku usaha mengunggah hasil evaluasi pembatas dosis dan penetapannya sebagai Tindak Lanjut Hasil Inspeksi di Sistem Balis Infara (https://balis-infara.bapeten.go.id) sebagai bukti tindak lanjut hasil inspeksi&lt;br /&gt;
 &lt;br&gt;-1. Agar Pelaku Usaha memperbaiki kartu dosis.&lt;br /&gt;
 Untuk menutup temuan, pelaku usaha mengunggah dokumen kartu dosis yang sudah diperbaiki sebagai Tindak Lanjut Hasil Inspeksi di Sistem Balis Infara (https://balis-infara.bapeten.go.id) sebagai bukti tindak lanjut hasil inspeksi.&lt;br /&gt;
 &lt;br /&gt;
 2. Agar Pelaku Usaha melakukan pencatatan terhadap pemakaian dosimeter saku.&lt;br /&gt;
 Untuk menutup temuan, pelaku usaha mengunggah hasil logbook pencatatan dosimeter saku sebagai Tindak Lanjut Hasil Inspeksi di Sistem Balis Infara (https://balis-infara.bapeten.go.id) sebagai bukti tindak lanjut hasil inspeksi&lt;br /&gt;
 &lt;br /&gt;
 &lt;br&gt;</t>
  </si>
  <si>
    <t>Belum dilakukan pemantauan dosis pekerja karena alat belum digunakan, baru dilakukan zero-check oleh BPAFK Jakarta.</t>
  </si>
  <si>
    <t>-Pelaku Usaha agar membuat surat komitmen terkait kewajiban melakukan evaluasi TLD setiap 3 bulan dan melengkapi pekerja radiasi baru dengan TLD dibuktikan dengan adanya zero- check.&lt;br&gt;-Pelaku Usaha membuat format Kartu Dosis dan melakukan perekaman data sesuai petunjuk tim inspektur di lapangan.&lt;br&gt;</t>
  </si>
  <si>
    <t>Surat Komitmen Pemantauan Dosis PekerjaFormat Kartu Dosis Pekerja Radiasi</t>
  </si>
  <si>
    <t>Tidak melakukan pemantuan TLD secara rutin untuk pekerja radiasi yang sudah tercantum didalam KTUN izin, evaluasi TLD badge terakhir November 2025.</t>
  </si>
  <si>
    <t>Belum dilakukan evaluasi dosis pekerja radiasi secara berkala. Berdasarkan hasil inspeksi di lapangan, evaluasi dosis pekerja radiasi untuk periode Desember hingga Februari Tahun 2022–2026 tidak dilaksanakan karena adanya kendala dalam pengajuan anggaran, yaitu belum tersedianya kontrak pada setiap awal tahun sehingga proses evaluasi dosis tidak dapat dilakukan sesuai jadwal.</t>
  </si>
  <si>
    <t>-Pelaku usaha wajib melakukan evaluasi dosis pekerja radiasi secara berkala setiap tiga bulan. &lt;br /&gt;
 &lt;br /&gt;
 Untuk menutup temuan, unggah komitmen pelaku usaha untuk melakukan evaluasi dosis secara berkala melalui menu TLHI (Tindak Lanjut Hasil Inspeksi) Balis Infara (https://balisinfara.bapeten.go.id) sebagai bukti tindak lanjut hasil inspeksi. &lt;br&gt;</t>
  </si>
  <si>
    <t>Surat Pernyataan Pemantauan Dosis Pekerja Berkala</t>
  </si>
  <si>
    <t>RSUD Dr. Achmad Mochtar Bukittinggi Fasilitas Radiologi Diagnostik dan Intervensional tidak dapat menunjukkan hasil pemantauan dosis pekerja radiasi pada periode Agustus – Oktober tahun 2025.</t>
  </si>
  <si>
    <t>Bukti pembelian TLD terbaru pekerja radiasi atas nama Teti SuarniSurat Komitmen pelaksanaan pemantauan dosis pekerja radiasi secara rutin yang ditandatangani direkturLaporan Hasil Evaluasi TLD pekerja radiasi periode tiga bulan terakhirBukti pendukung berupa foto yang menunjukkan penggunaan dosimeter baca langsung oleh Pekerja Radiasi selama pelaksanaan kegiatan di fasilitas radiologi intervensional Log book pemantauan dosis Pekerja Radiasi menggunakan dosimeter baca langsung secara rutin Bukti pembelian TLD terbaru pekerja radiasi atas nama Teti SuarniSurat Komitmen pelaksanaan pemantauan dosis pekerja radiasi secara rutin yang ditandatangani direkturLaporan Hasil Evaluasi TLD pekerja radiasi periode tiga bulan terakhirLog book pemantauan dosis Pekerja Radiasi menggunakan dosimeter baca langsung secara rutin</t>
  </si>
  <si>
    <t>BLU RS Otak DR. Drs. M. Hatta Bukittinggi tidak dapat menunjukkan hasil pemantauan dosis pekerja radiasi sebagai berikut :
 • Pembacaan TLD Juli - September 2025 tidak ada karena tidak terbaca oleh BPAFK Jakarta namun TLD sudah dikirim, yaitu atas nama:
 1. Betri Libra
 2. Muhammad Kamil
 • Pembacaan TLD tidak ada untuk periode Oktober - Desember 2025 untuk seluruh pekerja radiasi di Unit Intervensional karena terdapat kendala penyampaian hasil bacaan TLD ke Balis Pendora.</t>
  </si>
  <si>
    <t>Temuan 2.03.03 Point 2: Surat Komitmen pelaksanaan pemantauan dosis pekerja radiasi secara rutinTemuan 2.03.03 Point 3: Kartu Dosis TLD Lensa MataTemuan 2.03.03 Point 2: Laporan Evaluasi TLD April-Juni 2026_RadiologiTemuan 2.03.03 Point 2: Laporan Evaluasi TLD April-Juni 2026_CathlabTemuan 2.03.03 Point 2: Laporan Evaluasi TLD Lensa Mata April-Juni 2026Temuan 2.03.03 Point 1: Surat Pesanan TLD</t>
  </si>
  <si>
    <t>RSUP Dr. M. Djamil Padang, Fasilitas kedokteran nuklir tidak dapat menunjukkan hasil pemantauan dosis pekerja radiasi pada periode Januari – Maret dan April - Juni Tahun 2026.</t>
  </si>
  <si>
    <t>Hasil evaluasi TLD Jan-Mar 2026HASIL EVALUASI TLD APRIL-JUNI 2026SURAT KOMITMEN PENGAWASAN PENGGUNAAN TLD</t>
  </si>
  <si>
    <t>RSUP Dr. M. Djamil Padang Fasilitas Radiologi Diagnostik dan Intervensional tidak dapat menunjukkan hasil pemantauan dosis pekerja radiasi pada periode Januari – Maret dan April - Juni Tahun 2026.</t>
  </si>
  <si>
    <t>-RSUP Dr. M. Djamil Padang Fasilitas Radiologi Diagnostik dan Intervensional wajib melakukan pemantauan dosis pekerja radiasi untuk pekerja yang menggunakan TLD Badge secara rutin setiap tiga bulan sekali.&lt;br /&gt;
 &lt;br /&gt;
 Unggah Surat Komitmen pelaksanaan pemantauan dosis pekerja radiasi secara rutin yang ditandatangani manajemen dan Laporan Hasil Evaluasi TLD pekerja radiasi periode tiga bulan terakhir pada menu TLHI (Tindak Lanjut Hasil Inspeksi) BALIS INFARA (https://balis-infara.bapeten.go.id) sebagai bukti tindak lanjut hasil inspeksi.&lt;br&gt;-RSUP Dr. M. Djamil Padang membuat dokumentasi pencatatan hasil pembacaan dosis dari dosimeter baca langsung dan TLD mata pada penggunaan alat radiologi intervensional.&lt;br /&gt;
 &lt;br /&gt;
 Untuk menutup temuan, unggah log book hasil pembacaan dosimeter baca langsung dan TLD mata seluruh pekerja radiasi melalui menu TLHI (Tindak Lanjut Hasil Inspeksi) Balis Infara (https://balis-infara.bapeten.go.id) sebagai bukti tindak lanjut hasil inspeksi.&lt;br&gt;</t>
  </si>
  <si>
    <t>HASIL EVALUASI TLD JAN-MAR 2026HASIL EVALUASI TLD APRIL-JUNI 2026</t>
  </si>
  <si>
    <t>RSUP Dr. M. Djamil Padang Fasilitas Radioterapi tidak dapat menunjukkan hasil pemantauan dosis pekerja radiasi pada periode Januari – Maret dan April - Juni Tahun 2026.</t>
  </si>
  <si>
    <t>-RSUP Dr. M. Djamil Padang Fasilitas Radioterapi wajib melakukan pemantauan dosis pekerja radiasi untuk pekerja yang menggunakan TLD Badge secara rutin setiap tiga bulan sekali.&lt;br /&gt;
 &lt;br /&gt;
 Unggah Surat Komitmen pelaksanaan pemantauan dosis pekerja radiasi secara rutin yang ditandatangani manajemen dan Laporan Hasil Evaluasi TLD pekerja radiasi periode tiga bulan terakhir pada menu TLHI (Tindak Lanjut Hasil Inspeksi) BALIS INFARA (https://balis-infara.bapeten.go.id) sebagai bukti tindak lanjut hasil inspeksi.&lt;br&gt;</t>
  </si>
  <si>
    <t>Evaluasi TLD badge personel terakhir dilakukan pada September 2024.</t>
  </si>
  <si>
    <t>-Pihak Instansi agar membuat surat komitmen akan melakukan evaluasi dosis pekeja radiasi secara rutin.&lt;br /&gt;
 &lt;br /&gt;
 Unggah Surat Komitmen untuk melakukan evaluasi dosis pekerja radiasi secara rutin (Tindak Lanjut Hasil Inspeksi) di Sistem BALIS INFARA (https://balis-infara.bapeten.go.id) sebagai bukti tindak lanjut hasil inspeksi.&lt;br /&gt;
 &lt;br /&gt;
 &lt;br&gt;</t>
  </si>
  <si>
    <t>Tidak melakukan pembacaan/evaluasi hasil penggunaan TLD badge pada periode Maret - Mei 2O26.
 Keterangan:
 Izin baru tertrit talggal 13 April 2O26 dan mulai kerja tanggal 15 Mei 2026 sehingga belum ada hasil evaluasi TLD Saat ini memakai TLD periode Juni - Agustus 2O26</t>
  </si>
  <si>
    <t>Evaluasi TLD Maret - Mei 2026</t>
  </si>
  <si>
    <t>TLD April - Juni 2026 sedang dibaca di BPAFK Medan
 (2026 : Januari - Maret; 2025 : Januari - Maret, April - Juni, Juli - September , Oktober - Desember; 2022-2024 : lengkap)</t>
  </si>
  <si>
    <t>-Pelaku usaha agar berkomitmen untuk melakukan pembacaan hasil evaluasi dosis sampai dengan terbitnya dokumen hasil evaluasi dosis.&lt;br /&gt;
 &lt;br /&gt;
 Untuk menutup temuan, unggah bukti tindak lanjut berupa Hasil Evaluasi Dosis periode April–Juni 2026, melalui menu TLHI (Tindak Lanjut Hasil Inspeksi) di Sistem Balis Infara (https://ba1is-infara.bapeten.go.id) sebagai bukti tindak lanjut hasil inspeksi.&lt;br&gt;-Pelaku Usaha agar melakukan pencatatan penggunaan dosis personal secara teratur dalam Kartu Dosis.&lt;br /&gt;
 &lt;br /&gt;
 Untuk menutup temuan, unggah bukti tindak lanjut berupa Kartu Dosis penggunaan dosis personal, melalui menu TLHI (Tindak lanjut Hasil Inspeksi) Sistem Balis Infara (https://ba1is-infara.bapeten.go.id) sebagai bukti tindak lanjut hasil inspeksi.&lt;br&gt;</t>
  </si>
  <si>
    <t>Berikut kami lampirkan hasil evaluasi TLD Period April - Juni 2026</t>
  </si>
  <si>
    <t>Evaluasi TLD hanya dilakukan pada periode bulan April - Juni 2026 dan hasil evaluasi belum ada. 
 Pemakaian TLD sebelum periode April - Juni 2026 tidak pernah dilakukan evaluasi.
 Tidak dapat menunjukan hasil evaluasi TLD.
 Saat ini sudah ada 49 pasang TLD : 48 PR dan 1 Kontrol</t>
  </si>
  <si>
    <t>-Pelaku Usaha agar berkomitmen melakukan Pemantauan Dosis untuk seluruh pekerja radiasi secara rutin (3 bulan) dan menyimpan rekaman hasil Pemantauan Dosis Pekerja Radiasi hingga 30 tahun setelah yang bersangkutan berhenti bekerja.&lt;br /&gt;
 &lt;br /&gt;
 Untuk menutup temuan unggah Surat Komitmen dari Direktur untuk melakukan Pemantauan Dosis secara rutin pada menu TLHI (Tindak Lanjut Hasil Inspeksi) BALIS INFARA (https://balis-infara.bapeten.go.id) sebagai bukti tindak lanjut hasil inspeksi.&lt;br&gt;</t>
  </si>
  <si>
    <t>PT Trans Dana Profitri berkomitmen untuk melaksanakan dan menyimpan hasil pemantauan dosis radiasi dalam bentuk kartu dosis radiasi sesuai dengan ketentuan dan aturan BAPETEN.</t>
  </si>
  <si>
    <t>UTAC Manufacturing Services Indonesia</t>
  </si>
  <si>
    <t>Jl. Maligi 1 Lot A1-4, Karawang Industri KIIC, Sukaluyu, Teluk Jambe Timur</t>
  </si>
  <si>
    <t>Jl. Maligi 1 Lot A1-4, Karawang Industri KIIC, Sukaluyu, Teluk Jambe Timur,Karawang,Jawa Barat</t>
  </si>
  <si>
    <t>00100.01.08576.12.1.0526</t>
  </si>
  <si>
    <t>02.03.06</t>
  </si>
  <si>
    <t>Nama pemakai TLD/ Film badge tidak sesuai</t>
  </si>
  <si>
    <t>terdapat beberapa pekerja baru yang masih menggunakan TLD atas nama pegawai lain yang sudah resign</t>
  </si>
  <si>
    <t>-Pelaku Usaha agar :&lt;br /&gt;
 &lt;br /&gt;
 a. Melengkapi seluruh pekerja radiasi dengan TLD yang sesuai;&lt;br /&gt;
 b. Berkomitmen melakukan Pemantauan Dosis untuk seluruh pekerja radiasi secara rutin (3 bulan) dan menyimpan rekaman hasil Pemantauan Dosis Pekerja Radiasi hingga 30 tahun setelah yang bersangkutan berhenti bekerja.&lt;br /&gt;
 &lt;br /&gt;
 Unggah hasil Pemantauan Dosis tahun 2026 dan Surat Komitmen dari Direktur untuk melakukan Pemantauan Dosis secara rutin pada menu TLHI (Tindak Lanjut Hasil Inspeksi) BALIS INFARA (https://balis-infara.bapeten.go.id) sebagai bukti tindak lanjut hasil inspeksi.&lt;br&gt;</t>
  </si>
  <si>
    <t>1.Hasil Pemantauan Dosis tahun 2026
 2.Surat Komitmen management untuk pemantauan dosis secara rutin</t>
  </si>
  <si>
    <t>00101.01.08576.08.1.0526</t>
  </si>
  <si>
    <t>-Pelaku Usaha agar :&lt;br /&gt;
 &lt;br /&gt;
 a. Melengkapi seluruh pekerja radiasi dengan TLD yang sesuai;&lt;br /&gt;
 b. Berkomitmen melakukan Pemantauan Dosis untuk seluruh pekerja radiasi secara rutin (3 bulan) dan menyimpan rekaman hasil Pemantauan Dosis Pekerja Radiasi hingga 30 tahun setelah yang bersangkutan berhenti bekerja.&lt;br /&gt;
 &lt;br /&gt;
 Unggah hasil Pemantauan Dosis tahun 2026 dan Surat Komitmen dari Direktur untuk melakukan Pemantauan Kesehatan secara rutin pada menu TLHI (Tindak Lanjut Hasil Inspeksi) BALIS INFARA (https://balis-infara.bapeten.go.id) sebagai bukti tindak lanjut hasil inspeksi.&lt;br&gt;</t>
  </si>
  <si>
    <t>Hasil Pemantauan Dosis 2026 dan Surat Komitmen Management pemantauan dosis pekerja</t>
  </si>
  <si>
    <t>Medika Loka Podomoro</t>
  </si>
  <si>
    <t>JL. Danau Agung 2 Blok E3 No. 28-30, Sunter</t>
  </si>
  <si>
    <t>JL. Danau Agung 2 Blok E3 No. 28-30, Sunter,Jakarta Utara,DKI Jakarta</t>
  </si>
  <si>
    <t>00126.01.10705.01.1.0626</t>
  </si>
  <si>
    <t>Pekerja radiasi yang baru an. Meiwa, masih menggunakan TLD an. Syafitri Nadya (pekerja radiasi yang resign)</t>
  </si>
  <si>
    <t>-Pelaku usaha agar segera mengusulkan perubahan nama TLD sesuai dengan pekerja radiasi yang baru. Untuk menutup temuan unggah daftar nama pemakai TLD yang baru melalui menu TLHI (Tindak Lanjut Hasil Inspeksi) di Sistem Balis Infara (https://balis-infara.bapeten.go.id) sebagai bukti tindak lanjut hasil inspeksi. &lt;br&gt;</t>
  </si>
  <si>
    <t>Sudah dilakukan permohonan pada balis online untuk perubahan personil dengan 113128.26 untuk radiologi konvensional dan dengan nomor registrasi 13109.26 untukPesawat Gigi Intra OralPengusulan perubahan nama TLD sesuai dengan pekerja radiasi yang baru sudah sesuai.</t>
  </si>
  <si>
    <t>Anugrahmitra Selaras</t>
  </si>
  <si>
    <t>Jl. Agung Niaga IV G-4/54, Sunter Agung, Tanjung Priok</t>
  </si>
  <si>
    <t>Jl. Agung Niaga IV G-4/54, Sunter Agung, Tanjung Priok,Jakarta Utara,DKI Jakarta</t>
  </si>
  <si>
    <t>00157.01.08982.14.1.0626</t>
  </si>
  <si>
    <t>Masing- masing pekerja radiasi hanya dilengkapi dengan 1 TLD</t>
  </si>
  <si>
    <t>-Pelaku usaha agar menyediakan tambahan 1 TLD untuk masing masing pekerja radiasi dan membuat kartu dosis untuk masing masing pekerja radiasi.&lt;br /&gt;
 &lt;br /&gt;
 Untuk menutup temuan, pelaku usaha mengunggah Surat komitmen untuk menyediakan TLD tambahan dan mengunggah kartu dosis sebagai Tindak Lanjut Hasil Inspeksi di Sistem Balis Infara (https:/balis infara. bapeten.go.id). &lt;br /&gt;
 &lt;br&gt;</t>
  </si>
  <si>
    <t>02.04.01</t>
  </si>
  <si>
    <t>Tidak pernah melaksanakan pemantauan kesehatan</t>
  </si>
  <si>
    <t>BLU RSUP. Prof. Dr. R.D. Kando belum melakukan pemantauan kesehatan pekerja radiasi</t>
  </si>
  <si>
    <t>-BLU RSUP. Prof. Dr. R.D. Kandou Manado agar :&lt;br /&gt;
 a. Melaksanakan pemeriksaan kesehatan untuk seluruh pekerja radiasi yang bekerja di Fasilitas Layanan Kedokteran Nuklir;&lt;br /&gt;
 b. Berkomitmen melakukan Pemantauan Kesehatan untuk seluruh pekerja radiasi secara rutin per tahun (tepat 12 bulan) dan menyimpan rekaman hasil Pemantauan Kesehatan Pekerja Radiasi hingga 30 tahun setelah yang bersangkutan berhenti bekerja.&lt;br /&gt;
 &lt;br /&gt;
 Unggah hasil Pemeriksaan Kesehatan tahun 2026 dan Surat Komitmen dari Direktur untuk melakukan Pemantauan Kesehatan secara rutin pada menu TLHI (Tindak Lanjut Hasil Inspeksi) BALIS INFARA (https://balis-infara.bapeten.go.id) sebagai bukti tindak lanjut hasil inspeksi.&lt;br /&gt;
 &lt;br&gt;</t>
  </si>
  <si>
    <t>Terlampir Surat Komitmen Pemeriksaan Kesehatan</t>
  </si>
  <si>
    <t>Hasil pemeriksaan kesehatan untuk dr. Elgie Aulia Syawala, Sp. Rad belum tersedia.</t>
  </si>
  <si>
    <t>-Pelaku Usaha segera menyampaikan hasil pemeriksaan kesehatan untuk dr. Elgie Aulia Syawala, Sp. Rad.&lt;br /&gt;
 &lt;br /&gt;
 Untuk menutup temuan, unggah bukti hasil pemeriksaan kesehatan tersebut pada menu TLHI (Tindak Lanjut Hasil Inspeksi) Balis Infara (https://balis-infara.bapeten.go.id) sebagai bukti tindak lanjut hasil inspeksi&lt;br&gt;</t>
  </si>
  <si>
    <t>Upload hasil kesehatan dr. Elgie Aulia Syawala, Sp. Rad</t>
  </si>
  <si>
    <t>Tidak pernah dilaksanakan pemeriksaan kesehatan untuk pekerja radiasi</t>
  </si>
  <si>
    <t>-Pelaku Usaha wajib untuk melaksanakan pemantauan kesehatan untuk pekerja radiasi secara rutin sekali dalam satu tahun sesuai dengan Peraturan BAPETEN Nomor 6 Tahun 2010. Agar membuat Surat Pernyataan yang ditandatangani Direktur untuk melaksanakan pemantauan kesehatan untuk pekerja radiasi secara rutin sekali dalam satu tahun sesuai dengan Peraturan BAPETEN Nomor 6 Tahun 2010.&lt;br /&gt;
 &lt;br /&gt;
 Untuk menutup temuan, unggah bukti berupa Surat Komitmen dari Direktur melalui menu TLHI (Tindak Lanjut Hasil Inspeksi) di Sistem Balis Infara (https://balis-infara.bapeten.go.id) sebagai bukti tindak lanjut hasil inspeksi.&lt;br&gt;</t>
  </si>
  <si>
    <t>surat komitmen untuk pemeriksaan kesehatan bagi tpekerja radiasi</t>
  </si>
  <si>
    <t>Belum dilakukan pemantauan kesehatan pekerja radiasi atas nama drg. Ines</t>
  </si>
  <si>
    <t>-Pelaku usaha agar melaksanakan pemantauan kesehatan terhadap seluruh pekerja radiasi yang tercantum dalam KTUN izin. Dokter Gigi Ines diwajibkan untuk melakukan MCU. Untuk menutup temuan unggah hasil MCU drg. Ines yang terbaru melalui menu TLHI (Tindak Lanjut Hasil Inspeksi) di Sistem Balis Infara (https://balis-infara.bapeten.go.id) sebagai bukti tindak lanjut hasil inspeksi. &lt;br&gt;</t>
  </si>
  <si>
    <t>MCU drg ines sudah dilakukan pada bulan juli 2026</t>
  </si>
  <si>
    <t>Pemeriksaan kesehatan terhadap pekerja radiasi tidak dilakukan secara rutin 1 (satu) kali dalam 1 (satu) tahun. Dalam 5 (lima) tahun terakhir hanya hasil MCU pada tahun 2025 yang dapat ditunjukkan, dan MCU pada tahun 2026 belum ada penjadwalan.</t>
  </si>
  <si>
    <t>-Pelaku Usaha membuat surat pernyataan komitmen untuk melakukan pemeriksaan kesehatan terhadap semua pekerja radiasi secara berkala paling sedikit 1 (satu) kali dalam 1 (satu) tahun berdasarkan Pasal 24 ayat (1) PP No. 45 Tahun 2023.&lt;br /&gt;
 &lt;br /&gt;
 Untuk menutup temuan, unggah bukti surat pernyataan komitmen untuk melakukan pemeriksaan kesehatan terhadap semua pekerja radiasi secara berkala paling sedikit 1 (satu) kali dalam 1 (satu) tahun melalui menu TLHI (Tindak Lanjut Hasil Inspeksi) di Sistem Balis&lt;br /&gt;
 Infara (https://balisinfara.bapeten.go.id) sebagai bukti tindak lanjut hasil inspeksi.&lt;br&gt;</t>
  </si>
  <si>
    <t>Pemeriksaan kesehatan tidak dilakukan untuk semua pekerja radiasi secara rutin 1(satu) kali dalam 1 (satu) tahun</t>
  </si>
  <si>
    <t>-Pelaku Usaha membuat surat pernyataan komitmen untuk melakukan pemeriksaan kesehatan terhadap semua pekerja radiasi secara berkala paling sedikit 1 (satu) kali dalam 1 (satu) tahun berdasarkan Pasal 24 ayat (1) PP No. 45 Tahun 2023.&lt;br /&gt;
 &lt;br /&gt;
 Untuk menutup temuan, unggah bukti surat pernyataan komitmen untuk melakukan pemeriksaan kesehatan ter-hadap semua pekerja radiasi secara berkala paling sedikit 1 (satu) kali dalam 1 (satu) tahun melalui menu TLHI (Tin-dak Lanjut Hasil Inspeksi) di Sistem Balis Infara (https://balis-infara.bapeten.go.id) sebagai bukti tin-dak lanjut hasil inspeksi. &lt;br&gt;</t>
  </si>
  <si>
    <t>Terdapat Pekerja radiasi a.n. dr. Lothar Matheus Manson Vanende Silalahi, Sp.N dan Ali Roo'in Mas'uul, S.Si belum melakukan pemeriksaan kesehatan pada tahun 2026</t>
  </si>
  <si>
    <t>-Pelaku Usaha agar melakukan pemeriksaan kesehatan untuk Pekerja radiasi a.n. dr. Lothar Matheus Manson Vanende Silalahi, Sp.N dan Ali Roo'in Mas'uul, S.Si&lt;br /&gt;
 &lt;br /&gt;
 Unggah laporan hasil pemeriksaan kesehatan a.n dr. Lothar Matheus Manson Vanende Silalahi, Sp.N dan Ali Roo'in Mas'uul, S.Si tahun 2026 melalui menu TLHI (Tindak Lanjut Hasil Inspeksi) di Sistem BALIS INFARA (https://balis-infara.bapeten.go.id) sebagai bukti tindak lanjut hasil inspeksi.&lt;br /&gt;
 &lt;br /&gt;
 &lt;br&gt;</t>
  </si>
  <si>
    <t>Tidak melaksanakan pemeriksaan kesehatan pekerja radiasi</t>
  </si>
  <si>
    <t>-Melaksanakan pemeriksaan kesehatan pekerja radiasi secara rutin 1 (satu) tahun sekali dan direkam dalam kartu kesehatan pekerja radiasi sesuai dengan Peraturan Kepala BAPETEN Nomor 6 Tahun 2010.&lt;br /&gt;
 &lt;br /&gt;
 Untuk menutup temuan, unggah hasil pemeriksaan kesehatan dan kartu kesehatan pekerja radiasi melalui menu TLHI pada sistem Balis Infara 2.0 https://balis-infara.bapeten.go.id/ sebagai bukti tindak lanjut hasil inspeksi.&lt;br /&gt;
 &lt;br&gt;</t>
  </si>
  <si>
    <t>PT. Rumah Sehat Keluarga</t>
  </si>
  <si>
    <t>Jl. Wolter Monginsidi No.58 C, Petogogan, Kebayoran Baru</t>
  </si>
  <si>
    <t>Jl. Wolter Monginsidi No.58 C, Petogogan, Kebayoran Baru,Jakarta Selatan,DKI Jakarta</t>
  </si>
  <si>
    <t>00249.01.03631.01.1.0826</t>
  </si>
  <si>
    <t>Pekerja radiasi atas nama drg. Muhammad Sutria Haris, Sp.RKG belum dilakukan pemantauan kesehatan tahun 2026, terakhir Mei 2025,(yang bersangkutan sedang melakukan diklat Sespim).</t>
  </si>
  <si>
    <t>-Pelaku usaha agar melakukan pemantauan kesehatan tahun 2026 atas nama drg. Muhammad Sutria Haris, Sp.RKG, atau membuat surat komitmen untuk melakukan pemantauan kesehatan setelah selesai melakukan diklat Sespim.&lt;br /&gt;
  &lt;br /&gt;
 Untuk menutup temuan unggah dokumen hasil pemantauan kesehatan 2026 atau surat komitmen melalui menu TLHI (Tindak Lanjut Hasil Inspeksi) di Sistem Balis Infara (https://balis-infara.bapeten.go.id) sebagai bukti tindak lanjut hasil inspeksi.&lt;br&gt;</t>
  </si>
  <si>
    <t>HASIL MCU DAN SURAT SEHAT DRG HARIS 2026</t>
  </si>
  <si>
    <t>02.04.02</t>
  </si>
  <si>
    <t>Tidak melakukan pemantauan kesehatan secara teratur</t>
  </si>
  <si>
    <t>Tidak rutin melakukan pemantauan kesehatan pekerja radiasi</t>
  </si>
  <si>
    <t>-Rumah Sakit Bhayangkara Tk.III Manado wajib melakukan pemantauan kesehatan pekerja radiasi secara rutin setiap satu tahun sekali. &lt;br /&gt;
 &lt;br /&gt;
 Unggah Surat Komitmen pelaksanaan pemantauan kesehatan pekerja radiasi secara rutin yang ditandatangani manajemen dan Hasil Pemeriksaan Kesehatan pekerja radiasi tahun 2026 pada menu TLHI (Tindak Lanjut Hasil Inspeksi) BALIS INFARA&lt;br /&gt;
 (https://balis-infara.bapeten.go.id) sebagai bukti tindak lanjut hasil inspeksi.&lt;br /&gt;
 &lt;br /&gt;
 &lt;br&gt;</t>
  </si>
  <si>
    <t>RSUD ODSK Provinsi Sulawesi Utara tidak rutin melakukan pemantauan kesehatan pekerja radiasi (tidak dapat menunjukkan hasil pemantauan kesehatan tahun 2023, 2024 dan 2025)</t>
  </si>
  <si>
    <t>-RSUD ODSK Provinsi Sulawesi Utara wajib melakukan pemantauan kesehatan pekerja radiasi secara rutin minimal 1 (satu) tahun sekali. &lt;br /&gt;
 &lt;br /&gt;
 Unggah Surat Komitmen pelaksanaan pemantauan kesehatan pekerja radiasi secara rutin yang ditandatangani manajemen dan Hasil Pemeriksaan Kesehatan pekerja radiasi tahun 2025 dan 2026 pada menu TLHI (Tindak Lanjut Hasil Inspeksi) BALIS INFARA (https://balis-infara.bapeten.go.id) sebagai bukti tindak lanjut hasil inspeksi.&lt;br /&gt;
 &lt;br /&gt;
 &lt;br&gt;-RSUD ODSK Provinsi Sulawesi Utara agar membuat log book pemantauan kesehatan pekerja radiasi &lt;br /&gt;
 &lt;br /&gt;
 Unggah Pencatatan Hasil Pemeriksaan Kesehatan pekerja radiasi dalam bentuk log book pemantauan kesehatan pekerja radiasi pada menu TLHI (Tindak Lanjut Hasil Inspeksi) BALIS INFARA (https://balis-infara.bapeten.go.id) sebagai bukti tindak lanjut hasil inspeksi.&lt;br&gt;</t>
  </si>
  <si>
    <t>BLU RSUP. Prof. Dr. R.D. Kandou Manado Fasilitas Radiologi Diagnostik dan Intervensional tidak rutin melakukan pemantauan kesehatan pekerja radiasi (tidak dapat menunjukkan hasil pemantauan kesehatan tahun 2023, 2024 dan 2025)</t>
  </si>
  <si>
    <t>-BLU RSUP. Prof. Dr. R.D. Kandou Manado Fasilitas Radiologi Diagnostik dan Intervensional wajib melakukan pemantauan kesehatan pekerja radiasi secara rutin minimal 1 (satu) tahun sekali.&lt;br /&gt;
 Unggah Surat Komitmen pelaksanaan pemantauan kesehatan pekerja radiasi secara rutin yang ditandatangani manajemen dan Hasil Pemeriksaan Kesehatan pekerja radiasi tahun 2025 dan 2026 pada menu TLHI (Tindak Lanjut Hasil Inspeksi) BALIS INFARA (https://balis-infara.bapeten.go.id) sebagai bukti tindak lanjut hasil inspeksi.&lt;br&gt;</t>
  </si>
  <si>
    <t>00070.01.00475.05.1.0426</t>
  </si>
  <si>
    <t>Terdapat 2 (dua) orang pekerja radiasi yang belum melaksanakan pemantauan kesehatan atas nama:
 1. Dhewidewi Pambukaning Rahmatullah sebagai PPR Radioterapi
 2. Nirmala Nur Mahayuningtyas sebagai Radioterapis</t>
  </si>
  <si>
    <t>-BLU RSUP. Prof. Dr. R.D. Kandou Manado :&lt;br /&gt;
 a. Melaksanakan pemeriksaan kesehatan untuk seluruh pekerja radiasi;&lt;br /&gt;
 b. Berkomitmen melakukan Pemantauan Kesehatan untuk seluruh pekerja radiasi secara rutin per tahun (12 bulan) dan menyimpan rekaman hasil Pemantauan Kesehatan Pekerja Radiasi hingga 30 tahun setelah yang bersangkutan berhenti bekerja.&lt;br /&gt;
 &lt;br /&gt;
 Unggah hasil Pemeriksaan Kesehatan tahun 2026 dan Surat Komitmen dari Direktur untuk melakukan Pemantauan Kesehatan secara rutin pada menu TLHI (Tindak Lanjut Hasil Inspeksi) BALIS INFARA (https://balis-infara.bapeten.go.id) sebagai bukti tindak lanjut hasil inspeksi.&lt;br /&gt;
 &lt;br&gt;</t>
  </si>
  <si>
    <t>telah dilaksanakan MCU pada pekerja radiasi Dhedewi dan Nirmaladireksi telah menandatangani surat komitmen MCU pekerja radiasi selama 1 tahun sekali</t>
  </si>
  <si>
    <t>PT. Conch North Sulawesi Cement Tidak rutin melakukan pemantauan kesehatan pekerja radiasi. 
 Pemantauan kesehatan pekerja radiasi baru dilakukan sejak 2025.</t>
  </si>
  <si>
    <t>-PT. Conch North Sulawesi Cement agar :&lt;br /&gt;
 a. Melaksanakan pemeriksaan kesehatan untuk seluruh pekerja radiasi;&lt;br /&gt;
 b. Berkomitmen melakukan Pemantauan Kesehatan untuk seluruh pekerja radiasi secara rutin per tahun (tepat 12 bulan) dan menyimpan rekaman hasil Pemantauan Kesehatan Pekerja Radiasi hingga 30 tahun setelah yang bersangkutan berhenti bekerja.&lt;br /&gt;
 &lt;br /&gt;
 Unggah Surat Komitmen dari Direktur untuk melakukan Pemantauan Kesehatan secara rutin pada menu TLHI (Tindak Lanjut Hasil Inspeksi) BALIS INFARA (https://balis-infara.bapeten.go.id) sebagai bukti tindak lanjut hasil inspeksi&lt;br /&gt;
 &lt;br&gt;</t>
  </si>
  <si>
    <t>Telah dibuatkan surat komitmen untuk melakukan Pemantauan Kesehatan secara rutin</t>
  </si>
  <si>
    <t>Siloam International Hospitals</t>
  </si>
  <si>
    <t>Gedung Citra Graha Lt. SG02, Jl. Gatot Subroto Kav 35-36, Kuningan Timur, Setiabudi</t>
  </si>
  <si>
    <t>Gedung Citra Graha Lt. SG02, Jl. Gatot Subroto Kav 35-36, Kuningan Timur, Setiabudi,Jakarta Selatan,DKI Jakarta</t>
  </si>
  <si>
    <t>00068.01.00367.01.1.0426</t>
  </si>
  <si>
    <t>Siloam Hospitals Manado tidak melakukan pemantauan kesehatan secara rutin terhadap pekerja radiasi.</t>
  </si>
  <si>
    <t>-Siloam Hospitals Manado wajib melakukan pemantauan kesehatan pekerja radiasi secara rutin setiap satu tahun sekali. &lt;br /&gt;
  &lt;br /&gt;
 Unggah Surat Komitmen pelaksanaan pemantauan kesehatan pekerja radiasi secara rutin yang ditandatangani manajemen dan Hasil Pemeriksaan Kesehatan pekerja radiasi tahun 2026 pada menu TLHI (Tindak Lanjut Hasil Inspeksi) BALIS INFARA &lt;br /&gt;
 (https://balis-infara.bapeten.go.id) sebagai bukti tindak lanjut hasil inspeksi. &lt;br&gt;</t>
  </si>
  <si>
    <t>RS. Dr. Tadjuddin Chalid</t>
  </si>
  <si>
    <t>Jl. Perintis Kemerdekaan KM. 14 Daya</t>
  </si>
  <si>
    <t>Jl. Perintis Kemerdekaan KM. 14 Daya,Makassar,Sulawesi Selatan</t>
  </si>
  <si>
    <t>00078.01.01832.01.1.0426</t>
  </si>
  <si>
    <t>Pemeriksaan kesehatan belum dilakukan secara rutin.</t>
  </si>
  <si>
    <t>-Pelaku Usaha agar membuat surat komitmen melaksanakan pemeriksaan kesehatan pekerja radiasi secara rutin.&lt;br /&gt;
 &lt;br /&gt;
 Unggah surat komitmen tersebut melalui menu TLHI (Tindak Lanjut Hasil Inspeksi) di Sistem Balis Infara (https://balis-infara.bapeten.go.id) sebagai bukti tindak lanjut hasil inspeksi.&lt;br /&gt;
 &lt;br&gt;</t>
  </si>
  <si>
    <t>Surat Komitmen Pemeriksaan Kesehatan Pekerja Radiasi RSTC</t>
  </si>
  <si>
    <t>Pemeriksaan kesehatan pekerja radiasi belum dilakukan secara rutin (melebihi rentang waktu 12 bulan).</t>
  </si>
  <si>
    <t>-Pihak Instansi agar membuat surat komitmen untuk melakukan pemeriksaan kesehatan secara rutin (tidak melebihi rentang waktu 12 bulan).&lt;br /&gt;
 &lt;br /&gt;
 Unggah surat komitmen tersebut melalui menu TLHI (Tindak Lanjut Hasil Inspeksi) di Sistem Balis Infara (https://balis-infara.bapeten.go.id) sebagai bukti tindak lanjut hasil inspeksi.&lt;br /&gt;
 &lt;br&gt;</t>
  </si>
  <si>
    <t>Pihak Instansi telah membuat surat komitmen untuk melakukan pemeriksaan kesehatan secara rutin (tidak melebihi rentang waktu 12 bulan.</t>
  </si>
  <si>
    <t>Usaha Sosial Kharitas Bhakti</t>
  </si>
  <si>
    <t>Jl. Siam No. 153, Benua Melayu Darat, Pontianak Selatan</t>
  </si>
  <si>
    <t>Jl. Siam No. 153, Benua Melayu Darat, Pontianak Selatan,Pontianak,Kalimantan Barat</t>
  </si>
  <si>
    <t>00089.01.05018.01.1.0526</t>
  </si>
  <si>
    <t>Hasil pemantauan kesehatan tahun 2024 tidak dapat ditunjukkan</t>
  </si>
  <si>
    <t>-Pelaku Usaha agar membuat Surat Pernyataan yang berisi komitmen manajemen untuk melakukan pemantauan Kesehatan seluruh pekerja radiasi secara rutin setiap 1 tahun sekali, yang ditandatangani oleh Direktur.&lt;br /&gt;
 &lt;br /&gt;
 Untuk menutup temuan, unggah surat pernyataan tersebut diatas melalui menu TLHI (Tindak Lanjut Hasil Inspeksi) di Sistem Balis Infara (https://balis-infara.bapeten.go.id) sebagai bukti tindak lanjut hasil Inspeksi&lt;br&gt;</t>
  </si>
  <si>
    <t>Manejemen sudah membuat surat komitmen pemantauan kesehatan / MCU untuk seluruh pekerja radiasi di RS Kharitas Bhakti yang ditandatangani oleh direktur rumah sakit pada tgl 4 mei 2026</t>
  </si>
  <si>
    <t>RSHS belum melaksanakan pemeriksaan kesehatan secara rutin terhadap pekerja radiasi:
 1. dr. Gustiara, Sp. Rad
 2. Dr. Tjahjodjati,dr.,Sp.B.,Sp.U(K)
 3. Yono Sapari
 4. Yosep Hendratno, AMK
 5. Hadirudin, AMK
 6. Taufik Irfani, AMD, KEP
 7. Eka Hariyanti, AMK
 8. Reni Herlina, AMK
 9. dr. Rully Hanafi Dahlan, Sp.BS.
 10. dr. Abdul Kadir Hadar, Sp. OT
 11. dr. Gibran Tristan Alpharian, SP. OT
 12. Sendy Kalfi, AMK
 13. Wulan Sari Rachmawati
 14. Romlah Setiasih
 15. Ida Widaningsih
 16. Imas Laelasari
 17. Yuningsih
 18. Udi Usnadi</t>
  </si>
  <si>
    <t>-RSHS segera membuat surat komitmen akan melakukan pemeriksaan kesehatan untuk seluruh pekerja radiasi secara rutin setiap tahunnya.&lt;br /&gt;
 &lt;br /&gt;
 Untuk menutup temuan, unggah bukti surat komitmen tersebut pada menu TLHI (Tindak Lanjut Hasil Inspeksi) Balis Infara (https://balis-infara.bapeten.go.id) sebagai bukti tindak lanjut hasil inspeksi.&lt;br&gt;</t>
  </si>
  <si>
    <t>Pemenuhan MCU bagi Pekerja Radiasi</t>
  </si>
  <si>
    <t>Pemeriksaan kesehatan untuk seluruh pekerja radiasi belum secara rutin dilakukan setiap tahunnya</t>
  </si>
  <si>
    <t>-Pelaku Usaha segera membuat Surat Komitmen akan melakukan pemeriksaan kesehatan untuk seluruh Pekerja Radiasi secara rutin setiap tahunnya&lt;br /&gt;
 &lt;br /&gt;
 Untuk menutup temuan, unggah bukti Surat Komitmen tersebut pada menu TLHI (Tindak Lanjut Hasil Inspeksi) Balis Infara (https://balis-infara.bapeten.go.id) sebagai bukti tindak lanjut hasil inspeksi&lt;br&gt;-Pelaku Usaha segera membuat Kartu Kesehatan untuk setiap pekerja radiasi.&lt;br /&gt;
 &lt;br /&gt;
 Untuk menutup temuan, unggah bukti Kartu Kesehatan tersebut pada menu TLHI (Tindak Lanjut Hasil Inspeksi) Balis Infara (https://balis-infara.bapeten.go.id) sebagai bukti tindak lanjut hasil inspeksi&lt;br&gt;</t>
  </si>
  <si>
    <t>Surat Komitmen Pemeriksaan Kesehatan Pekerja Radiasi dan Kartu Kesehatan</t>
  </si>
  <si>
    <t>Hasil pemeriksaan kesehatan tahun 2026 belum tersedia:
 a. dr. Achmad Fauzi Yahya, Sp.JP (K)
 b. dr. Pintoko H W Tedjokusumo, Sp.JP
 c. dr. Rahmat Budi Kuswiyanto, Sp.A
 d. dr. Dolvy Girawan, Sp.PD-KGEH
 e. dr. Muhammad Begawan Bestari, Sp.PD-KGEH,
 f. dr. I Gede Sumantra, Sp.JP</t>
  </si>
  <si>
    <t>-RS Santo Borromeus segera melakukan pemeriksaan kesehatan periode tahun 2026 untuk:&lt;br /&gt;
 a. dr. Achmad Fauzi Yahya, Sp.JP (K)&lt;br /&gt;
 b. dr. Pintoko H W Tedjokusumo, Sp.JP&lt;br /&gt;
 c. dr. Rahmat Budi Kuswiyanto, Sp.A&lt;br /&gt;
 d. dr. Dolvy Girawan, Sp.PD-KGEH&lt;br /&gt;
 e. dr. Muhammad Begawan Bestari, Sp.PD-KGEH&lt;br /&gt;
 f. dr. I Gede Sumantra, Sp.JP&lt;br /&gt;
 &lt;br /&gt;
 Untuk menutup temuan, unggah bukti hasil pemeriksaan kesehatan tersebut pada menu TLHI (Tindak Lanjut Hasil Inspeksi) Balis Infara (https://balis-infara.bapeten.go.id) sebagai bukti tindak lanjut hasil inspeksi&lt;br /&gt;
 &lt;br&gt;-RS Santo Borromeus segera membuat kartu kesehatan untuk setiap pekerja radiasi periode tahun 2023 sd tahun 2025&lt;br /&gt;
 &lt;br /&gt;
 Untuk menutup temuan, unggah bukti kartu kesehatan tersebut pada menu TLHI (Tindak Lanjut Hasil Inspeksi) Balis Infara (https://balis-infara.bapeten.go.id) sebagai bukti tindak lanjut hasil inspeksi.&lt;br&gt;</t>
  </si>
  <si>
    <t>KARTU KESEHATAN RSB (2022-2026)MCU 6 DOKTER</t>
  </si>
  <si>
    <t>terdapat pekerja radiasi yang terakhir dilakukan pemantauan kesehatan melebihi 12 bulan 
 a. Muna Waroh - Juli 2025
 b. Elsa - Maret 2025
 c. Eko Wibowo - Maret 2025</t>
  </si>
  <si>
    <t>-Pelaku Usaha agar :&lt;br /&gt;
 &lt;br /&gt;
 a. Melaksanakan pemeriksaan kesehatan untuk seluruh pekerja radiasi;&lt;br /&gt;
 b. Berkomitmen melakukan Pemantauan Kesehatan untuk seluruh pekerja radiasi secara rutin per tahun (12 bulan) dan menyimpan rekaman hasil Pemantauan Kesehatan Pekerja Radiasi hingga 30 tahun setelah yang bersangkutan berhenti bekerja.&lt;br /&gt;
 &lt;br /&gt;
 Unggah hasil Pemeriksaan Kesehatan tahun 2026 dan Surat Komitmen dari Direktur untuk melakukan Pemantauan Kesehatan secara rutin pada menu TLHI (Tindak Lanjut Hasil Inspeksi) BALIS INFARA (https://balis-infara.bapeten.go.id) sebagai bukti tindak lanjut hasil inspeksi.&lt;br&gt;-Pelaku Usaha agar membuat rekaman hasil pemantauan kesehatan berupa kartu kesehatan untuk masing-masing pekerja radiasi.&lt;br /&gt;
 Unggah Kartu Pemeriksaan Kesehatan Pekerja Radiasi pada menu TLHI (Tindak Lanjut Hasil Inspeksi) BALIS INFARA (https://balis-infara.bapeten.go.id) sebagai bukti tindak lanjut hasil inspeksi.&lt;br&gt;</t>
  </si>
  <si>
    <t>1.Melakukan Medical Check Up tahun 2026 untuk pekerja atas nama Eko,Elasa,Munawaroh
 2.Membuat Rekaman Pemantauan Kesehatan Pekerja Radiasi
 3. Dokumen Komitmen Management untuk Pemantauan Kesehatan Secara Rutin</t>
  </si>
  <si>
    <t>Melakukan Hasil Pemeriksaan tahun 2026, 
 Komitmen management dan Membuat pemantauan kesehatan pekerja Radiasi</t>
  </si>
  <si>
    <t>tahun 2025 tidak melakukan pemantauan kesehatan pekerja radiasiatas nama Ridho Nur Islamidin, AMd. Rad</t>
  </si>
  <si>
    <t>-Laboratorium Klinik Kimia Farma cabang Garut agar&lt;br /&gt;
 a. Melaksanakan pemeriksaan kesehatan untuk seluruh pekerja radiasi;&lt;br /&gt;
 b. Berkomitmen melakukan Pemantauan Kesehatan untuk seluruh pekerja radiasi secara rutin per tahun (12 bulan) dan menyimpan rekaman hasil Pemantauan Kesehatan Pekerja Radiasi hingga 30 tahun setelah yang bersangkutan berhenti bekerja.&lt;br /&gt;
 &lt;br /&gt;
 Unggah hasil Pemeriksaan Kesehatan tahun 2026 dan Surat Komitmen dari Direktur untuk melakukan Pemantauan Kesehatan secara rutin pada menu TLHI (Tindak Lanjut Hasil Inspeksi) BALIS INFARA (https://balis-infara.bapeten.go.id) sebagai bukti tindak lanjut hasil inspeksi.&lt;br&gt;</t>
  </si>
  <si>
    <t>Berikut hasil Surat komitmen pelaksanaan MCU rutin untuk pekerja radiasi.Hasil MCU Pekerja Radiasi an Ridho Nur Islamidin, A.Md.Rad tahun 2026</t>
  </si>
  <si>
    <t>belum melakukan MCU untuk pekerja baru</t>
  </si>
  <si>
    <t>-BLU RS. Tk. II. 03.05.01. Dustira / Kesdam III Siliwangi agar&lt;br /&gt;
 a. Melaksanakan pemeriksaan kesehatan untuk seluruh pekerja radiasi;&lt;br /&gt;
 b. Berkomitmen melakukan Pemantauan Kesehatan untuk seluruh pekerja radiasi secara rutin per tahun (12 bulan) dan menyimpan rekaman hasil Pemantauan Kesehatan Pekerja Radiasi hingga 30 tahun setelah yang bersangkutan berhenti bekerja.&lt;br /&gt;
 c. Membuat rekaman hasil pemantauan dosis pekerja radiasi dalam bentuk kartu kesehatan&lt;br /&gt;
 &lt;br /&gt;
 Unggah hasil Pemeriksaan Kesehatan tahun 2026 dan Surat Komitmen dari Direktur untuk melakukan Pemantauan Kesehatan secara rutin pada menu TLHI (Tindak Lanjut Hasil Inspeksi) BALIS INFARA (https://balis-infara.bapeten.go.id) sebagai bukti tindak lanjut hasil inspeksi.&lt;br&gt;</t>
  </si>
  <si>
    <t>MCU setelah resign belum dilakukan</t>
  </si>
  <si>
    <t>-RSU. Santosa Hospital Bandung Central agar&lt;br /&gt;
 a. Melaksanakan pemeriksaan kesehatan untuk seluruh pekerja radiasi pada periode sebelum bekerja, selama bekerja, dan sebelum pekerja berhenti bekerja;&lt;br /&gt;
 b. Berkomitmen melakukan Pemantauan Kesehatan untuk seluruh pekerja radiasi pada periode sebelum bekerja, secara rutin selama bekerja per tahun (12 bulan), dan sebelum pekerja berhenti bekerja serta menyimpan rekaman hasil Pemantauan Kesehatan Pekerja Radiasi hingga 30 tahun setelah yang bersangkutan berhenti bekerja.&lt;br /&gt;
 &lt;br /&gt;
 Unggah Surat Komitmen dari Direktur untuk melakukan Pemantauan Kesehatan secara rutin pada menu TLHI (Tindak Lanjut Hasil Inspeksi) BALIS INFARA (https://balis-infara.bapeten.go.id) sebagai bukti tindak lanjut hasil inspeksi.&lt;br&gt;</t>
  </si>
  <si>
    <t>1. Santosa Hospital Bandung Central berkomitmen untuk melakukan MCU sebelum bekerja, selama bekerja, dan sebelum pekerja radiasi berhenti bekerja.
 2. Santosa Hospital Bandung Central berkomitmen melakukan Pemantauan Kesehatan untuk seluruh pekerja radiasi pada periode sebelum bekerja, secara rutin selama bekerja per tahun (12 bulan), dan sebelum pekerja berhenti bekerja serta menyimpan rekaman hasil Pemantauan Kesehatan Pekerja Radiasi hingga 30 tahun setelah yang bersangkutan berhenti bekerja.</t>
  </si>
  <si>
    <t>Pekerja radiasi tidak dilakukan pemantauan kesehatan pada tahun 2024-2025. PI sudah membuat surat komitmen pemantauan kesehatan pekerja radiasi.</t>
  </si>
  <si>
    <t>-Pelaku Usaha wajib melaksanakan pemantauan kesehatan untuk pekerja radiasi secara rutin sekali dalam satu tahun sesuai dengan Peraturan BAPETEN Nomor 6 Tahun 2010. .&lt;br /&gt;
 &lt;br /&gt;
 Untuk menutup temuan, unggah bukti berupa Surat Komitmen dari Direktur yang sudah dibuat melalui menu TLHI (Tindak Lanjut Hasil Inspeksi) di Sistem Balis Infara (https://balis-infara.bapeten.go.id) sebagai bukti tindak lanjut hasil inspeksi.&lt;br&gt;-Pelaku Usaha wajib melaksanakan pemantauan kesehatan untuk pekerja radiasi sesuai dengan Peraturan BAPETEN Nomor 6 Tahun 2010. Agar membuat Surat Pernyataan yang ditandatangani Direktur untuk melaksanakan pemantauan kesehatan untuk pekerja radiasi sesuai dengan Peraturan BAPETEN Nomor 6 Tahun 2010.&lt;br /&gt;
 &lt;br /&gt;
 Untuk menutup temuan, unggah bukti berupa Surat Komitmen dari Direktur melalui menu TLHI (Tindak Lanjut Hasil Inspeksi) di Sistem Balis Infara (https://balis-infara.bapeten.go.id) sebagai bukti tindak lanjut hasil inspeksi.&lt;br&gt;</t>
  </si>
  <si>
    <t>surat pernyataan pemantauan kesehatan</t>
  </si>
  <si>
    <t>PT Intan Mitra Medika</t>
  </si>
  <si>
    <t>Jl. Selindung Raya Perumahan Graha Loka Blok C4 No.8, Kel. Selindung, Kec. Gabek</t>
  </si>
  <si>
    <t>Jl. Selindung Raya Perumahan Graha Loka Blok C4 No.8, Kel. Selindung, Kec. Gabek,Pangkal pinang,Kepulauan Bangka Belitung</t>
  </si>
  <si>
    <t>00117.01.15822.01.1.0526</t>
  </si>
  <si>
    <t>Dokter a.n dr. Elius Tua Butar Butar, Sp.Rad. dan Pekerja radiasi a.n Rosta Agustari tidak melakukan pemeriksaan kesehatan untuk tahun 2025.</t>
  </si>
  <si>
    <t>-Pelaku Usaha wajib untuk melaksanakan pemantauan kesehatan untuk pekerja radiasi sesuai dengan Peraturan BAPETEN Nomor 6 Tahun 2010. Agar membuat Surat Pernyataan/ Komitmen yang ditandatangani Direktur untuk melaksanakan pemantauan kesehatan untuk pekerja radiasi sesuai dengan Peraturan BAPETEN Nomor 6 Tahun 2010.&lt;br /&gt;
 &lt;br /&gt;
 Untuk menutup temuan, unggah bukti berupa Surat Komitmen dari Direktur melalui menu TLHI (Tindak Lanjut Hasil Inspeksi) di Sistem Balis Infara (https://balis-infara.bapeten.go.id) sebagai bukti tindak lanjut hasil inspeksi.&lt;br&gt;</t>
  </si>
  <si>
    <t>Surat komitmen pelaksanaan pemeriksaan dan pemantauan kesehatan pekerja radiasi</t>
  </si>
  <si>
    <t>Tidak rutin melakukan pemantauan kesehatan</t>
  </si>
  <si>
    <t>-Pelaku usaha agar melakukan pemantauan kesehatan 1 tahun sekali terhadap pekerja radiasi. Untuk menutup temuan unggah surat komitmen untuk melaksanakan pemantauan kesehatan 1 tahun sekali untuk pekerja radiasi melalui menu TLHI (Tindak Lanjut Hasil Inspeksi) di Sistem Balis Infara (https://balis infara.bapeten.go.id) sebagai bukti tindak lanjut hasil inspeksi. &lt;br&gt;</t>
  </si>
  <si>
    <t>Surat Komitmen untuk melakukan Pemantauan Kesehatan 1 tahun sekali terhadap pekerja radiasi</t>
  </si>
  <si>
    <t>Halliburton Drilling Systems Indonesia</t>
  </si>
  <si>
    <t>Cilandak Commercial Estate, Bld. 106, Jl. Raya Cilandak KKO</t>
  </si>
  <si>
    <t>Cilandak Commercial Estate, Bld. 106, Jl. Raya Cilandak KKO,Jakarta Selatan,DKI Jakarta</t>
  </si>
  <si>
    <t>00144.01.05699.07.1.0626</t>
  </si>
  <si>
    <t>Terdapat beberapa pekerja radiasi yang tidak melakukan pemantauan kesehatan secara teratur dalam 5 tahun terakhir dengan rincian sebagai berikut:
 a. 2025 (Wildan Muhammad Fauzy, Adam Shidiq Alfaruq, Indra Widyanto)
 b. 2024 (Willy Purnama Putra, Chafidz Mintarja, Retno Wulan Sari)
 c. 2023 (Firdinan Aminullah Amberi)
 d. 2022 (Indra Widyanto)</t>
  </si>
  <si>
    <t>-Pelaku Usaha agar melakukan pemantauan Kesehatan secara teratur setiap tahun.&lt;br /&gt;
 &lt;br /&gt;
 Untuk menutup temuan, unggah bukti surat komitmen dari direktur untuk melakukan pemantauan Kesehatan secara teratur setiap tahun melalui menu TLHI (Tindak Lanjut Hasil Inspeksi) di Sistem Balis Infara (https://balis-infara.bapeten.go.id) sebagai bukti tindak lanjut hasil inspeksi.&lt;br&gt;</t>
  </si>
  <si>
    <t>Tertulis dalam surat yang telah diunggah, PT. HDSI berkomitmen untuk melakukan pemantauan kesehatan pekerja radiasi secara teratur setiap tahun sesuai dengan peraturan perundang-undangan yang berlaku.</t>
  </si>
  <si>
    <t>RSUD Dr. Adjidarmo Kabupaten Lebak</t>
  </si>
  <si>
    <t>Jl. Iko Jatmiko No.1</t>
  </si>
  <si>
    <t>Jl. Iko Jatmiko No.1,Lebak,Banten</t>
  </si>
  <si>
    <t>00143.01.03161.01.1.0626</t>
  </si>
  <si>
    <t>Pemeriksaan kesehatan untuk 2025 dilakukan pada Januari 2026.
 Tidak terdapat pemeriksaan kesehatan setelah masa bekerja untuk dr. Tarmizi, Sp.Rad</t>
  </si>
  <si>
    <t>-Pelaku Usaha agar melakukan pemeriksan kesehatan bagi pekerja radiasi secara rutin setiap tahun.&lt;br /&gt;
 &lt;br /&gt;
 Untuk menutup temuan, unggah Surat Komitmen melakukan pemeriksaan kesehatan secara rutin melalui menu TLHI (Tindak Lanjut Hasil Inspeksi) di Sistem Balis Infara (https://balis-infara.bapeten.go.id) sebagai bukti tindak lanjut hasil inspeksi.&lt;br&gt;-Pelaku Usaha agar melakukan pemeriksan kesehatan bagi pekerja radiasi yang telah keluar.&lt;br /&gt;
 &lt;br /&gt;
 Untuk menutup temuan, unggah bukti pemeriksaan kesehatan melalui menu TLHI (Tindak Lanjut Hasil Inspeksi) di Sistem Balis Infara (https://balis-infara.bapeten.go.id) sebagai bukti tindak lanjut hasil inspeksi.&lt;br&gt;</t>
  </si>
  <si>
    <t>Telah dilakukan pemeriksaan kesehatan terhadap dokter Tarmizi pada Juli 2026</t>
  </si>
  <si>
    <t>Kartini Bakti Husada</t>
  </si>
  <si>
    <t>Jl. Sunan Kalijaga No. 325 Blok Papanggo, KP. Cijoro, RT. 002 RW. 001, Kel. Muara, Ciujung Timur, Kec. Rangkasbitung</t>
  </si>
  <si>
    <t>Jl. Sunan Kalijaga No. 325 Blok Papanggo, KP. Cijoro, RT. 002 RW. 001, Kel. Muara, Ciujung Timur, Kec. Rangkasbitung,Lebak,Banten</t>
  </si>
  <si>
    <t>00141.01.10538.01.1.0626</t>
  </si>
  <si>
    <t>Tidak melakukan pemantauan kesehatan secara teratur dalam 5 tahun terakhir dengan rincian sbb:
 1. Belum tersedia data pemeriksaaan kesehatan pada tahun 2022, 2023
 2. Belum tersedia data pemeriksaan kesehatan pada tahun 2024 untuk beberapa pekerja radiasi atas nama Dr. H. Adie Soekardi, Sp.Rad, MARS dan dr. Dini Kuswiandri, Sp.Rad; dan Irhas, ST
 3. Belum tersedia data pemeriksaan kesehatan tahun 2025 untuk 2 pekerja radiasi atas nama Dr. H. Adie Soekardi, Sp.Rad, MARS dan dr. Dini Kuswiandri, Sp.Rad.
 4. Pemeriksaan kesehatan tahun 2026 direncanakan akan dilakukan pada bulan Oktober 2026</t>
  </si>
  <si>
    <t>-Pelaku Usaha agar secara rutin melakukan pemeriksaan kesehatan kepada seluruh pekerja radiasi dan mendokumentasikannya dalam kartu kesehatan pekerja radiasi.&lt;br /&gt;
 &lt;br /&gt;
 Untuk menutup temuan, unggah bukti Surat Komitmen yang ditandatangani oleh Direktur untuk melakukan pemeriksaan kesehatan untuk seluruh pekerja radiasi secara rutin melalui menu TLHI (Tindak Lanjut Hasil Inspeksi) di Sistem Balis Infara (https://balis-infara.bapeten.go.id) sebagai bukti tindak lanjut hasil inspeksi.&lt;br&gt;</t>
  </si>
  <si>
    <t>Surat Komitmen pemeriksaan kesehatan pekerja radiasi yang ditandatangani oleh Direktur</t>
  </si>
  <si>
    <t>Beberapa pekerja radiasi belum melaksanakan pemeriksaan kesehatan di tahun 2026
 1. Samino
 2. Dian Ardiansyah
 3. Encep Aan Suwandi
 4. Agus Sony Sumardiana
 5. Heri Jayusman Suhar</t>
  </si>
  <si>
    <t>-Pelaku Usaha agar segera melaksanakan pemantauan kesehatan pekerja radiasi untuk tahun 2026.&lt;br /&gt;
 &lt;br /&gt;
 Untuk menutup temuan, unggah bukti pemantauan kesehatan pekerja radiasi dan surat komitmen manajemen untuk melaksanakan pemantuan kesehatan pekerja radiasi secara rutin 1 (satu) tahun sekali melalui menu TLHI (Tindak Lanjut Hasil Inspeksi) di Sistem Balis Infara (https://balis-infara.bapeten.go.id) sebagai bukti tindak lanjut hasil inspeksi.&lt;br /&gt;
 &lt;br&gt;</t>
  </si>
  <si>
    <t>Kami telah melakukan MCU untuk personil 
 1. Samino
 2. Dian Ardiansyah
 3. Encep Aan Suwandi
 4. Agus Sony Sumardiana
 5. Heri Jayusman Suhari</t>
  </si>
  <si>
    <t>Pemeriksaan kesehatan sudah dilakukan, namun tidak dilakukan secara rutin 1 (satu) kali dalam 1 (satu) tahun atas nama Sugiyono, Dikdik Tresna Wulanjana, Nahnul Muttakin. Hasil pemeriksaan kesehatan terakhir untuk 3 (tiga) orang pekerja radiasi tersebut yang dilakukan tahun 2023.</t>
  </si>
  <si>
    <t>-Pelaku Usaha agar melakukan pemeriksaan kesehatan terhadap semua pekerja radiasi dan membuat surat pernyataan komitmen untuk melakukan pemeriksaan kesehatan terhadap semua pekerja radiasi secara berkala paling sedikit 1 (satu) kali dalam 1 (satu) tahun berdasarkan Pasal 24 ayat (1) PP No. 45 Tahun 2023.&lt;br /&gt;
 &lt;br /&gt;
 Untuk menutup temuan, unggah bukti surat pernyataan komitmen untuk melakukan pemeriksaan kesehatan ter-hadap semua pekerja radiasi secara berkala paling sedikit 1 (satu) kali dalam 1 (satu) tahun melalui menu TLHI (Tindak Lanjut Hasil Inspeksi) di Sistem Balis Infara (https://balis-infara.bapeten.go.id) sebagai bukti tindak lanjut hasil inspeksi.&lt;br&gt;</t>
  </si>
  <si>
    <t>Tidak melakukan pemeriksaan kesehatan terhadap pekerja radiasi secara berkala (paling kurang setahun sekali). Pemeriksaan terakhir dilakukan pada Juni 2026. Tahun 2025 dan 2024 tidak dilakukan.</t>
  </si>
  <si>
    <t>-Kode Temuan 2.04.02&lt;br /&gt;
 Pelaku Usaha menyampaikan surat pernyataan komitmen untuk melakukan pemeriksaan kesehatan secara berkala (paling kurang setahun sekali) terhadap pekerja radiasi.&lt;br /&gt;
 &lt;br /&gt;
 Surat pernyataan komitmen Pelaku Usaha untuk melakukan pemeriksaan kesehatan secara berkala (paling kurang setahun sekali) terhadap pekerja radiasi diunggah di Sistem Balis Infara (https://balis-infara.bapeten.go.id) melalui menu TLHI (Tindak Lanjut Hasil Inspeksi) sebagai bukti tindak lanjut hasil inspeksi.&lt;br /&gt;
 &lt;br&gt;</t>
  </si>
  <si>
    <t>Pemeriksaan kesehatan Tahun 2025 belum dilakukan secara berkala pada 12 (dua belas) pekerja radiasi an
 1. Dr Amelia Martira Sp.An
 2. Daya Arief Wibawa
 3. Sunta Wijaya
 4. Dr Ujang Supriyadi Sp.An
 5. Dr Azizah Masthura Sp.An
 6. Dr Miradz Hudaya Sp.B Subsp.BVE(K)
 7. Dr Sekar Mayang Sp.Rad
 8. Dr M Anggi Sp.OT
 9. Dr Putu Mega Sp.OT
 10. Dr Rulianov Sp.U
 11. Dr Bernard Sp.U
 12. Dian Pratama</t>
  </si>
  <si>
    <t>-Kode Temuan 2.04.02&lt;br /&gt;
 Pelaku Usaha melakukan pemeriksaan kesehatan (paling kurang setahun sekali) terhadap 12 (dua belas) pekerja radiasi tersebut.&lt;br /&gt;
 &lt;br /&gt;
 Pelaku usaha membuat surat komitmen untuk melakukan pemeriksaan kesehatan secara berkala (paling kurang setahun sekali) terhadap seluruh pekerja radiasi.&lt;br /&gt;
 &lt;br /&gt;
 Hasil pemeriksaan Kesehatan terhadap 12 (dua belas) pekerja radiasi dan Surat pernyataan komitmen Pelaku Usaha untuk melakukan pemeriksaan kesehatan secara berkala (paling kurang setahun sekali) terhadap seluruh pekerja radiasi diunggah di Sistem Balis Infara (https://balis-infara.bapeten.go.id) melalui menu TLHI (Tindak Lanjut Hasil Inspeksi) sebagai bukti tindak lanjut hasil inspeksi.&lt;br /&gt;
 &lt;br&gt;</t>
  </si>
  <si>
    <t>Telah dilakukan pemeriksaan Kesehatan terhadap 10 (sepuluh) dari 12 (dua belas) pekerja radiasi dan Surat pernyataan komitmen Pelaku Usaha untuk melakukan pemeriksaan kesehatan secara berkala (paling kurang setahun sekali) terhadap seluruh pekerja radiasi. Sedangkan untuk 3 Pekerja Radiasi atas nama :
 1. Dr Ujang Supriyadi Sp.An (Sedang Tugas Belajar)
 2. Dr M Anggi Sp.OT (Sedang Tugas Belajar)
 Kepada nama-nama yang belum melaksanakan tugas perintah MCU tersebut diatas, akan dilakukan pemeriksaan MCU saat yang bersangkutan kembali bertugas.</t>
  </si>
  <si>
    <t>Terakhir pemeriksaan kesehatan dilakukan tahun Juli 2021</t>
  </si>
  <si>
    <t>-Pelaku usaha agar melakukan pemeriksaan kesehatan bagi setiap pekerja radiasi 1 tahun sekali dan membuat kartu kesehatan untuk masing masing pekerja radiasi.&lt;br /&gt;
 &lt;br /&gt;
 Untuk menutup temuan, pelaku usaha mengunggah surat komitmen untuk melakukan pemantauan kesehatan terhadap pekerja radiasi dan kartu kesehatan untuk masing masing pekerja radiasi sebagai Tindak Lanjut Hasil Inspeksi) di Sistem Balis Infara (https://balis-infara.bapeten.go.id).&lt;br&gt;</t>
  </si>
  <si>
    <t>Pemantauan kesehatan (MCU) pekerja radiasi terakhir dilaksanakan pada bulan April 2025, sedangkan MCU untuk tahun 2026 belum dilakukan, sehingga pemantauan kesehatan pekerja radiasi belum dilakukan secara teratur mengikuti ketentuan Perka BAPETEN nomor 6/2010 bahwa pemantauan kesehatan dilakukan minimal 1 (satu) kali dalam setahun, yaitu sesuai tanggal pemantauan kesehatan yang dilaksanakan pada tahun sebelumnya.</t>
  </si>
  <si>
    <t>-Pelaku Usaha wajib melaksanakan pemantauan kesehatan pekerja radiasi secara teratur sesuai ketentuan Perka BAPETEN nomor 6/2010, dan membuat surat pernyataan komitmen pelaku usaha untuk melaksanakan pemantauan kesehatan pekerja radiasi sesuai ketentuan peraturan perundangan yang berlaku.&lt;br&gt;</t>
  </si>
  <si>
    <t>MCU Pekerja Radioterapi 2026Pernyataan Komitmen Pemegang izin agustus 2026</t>
  </si>
  <si>
    <t>RSUD. Menggala Tulang Bawang</t>
  </si>
  <si>
    <t>Jl. Lintas Timur, No. 1, Kampung Baru, Menggala Tulang Baru</t>
  </si>
  <si>
    <t>Jl. Lintas Timur, No. 1, Kampung Baru, Menggala Tulang Baru,Tulang Bawang,Lampung</t>
  </si>
  <si>
    <t>00216.01.03260.01.1.0726</t>
  </si>
  <si>
    <t>Pemantauan kesehatan baru dilaksanakan dua kali yaitu tahun 2025 dan 2026</t>
  </si>
  <si>
    <t>-Pelaku usaha agar membuat komitmen melakukan pemantauan kesehatan pekerja radiasi secara rutin dan berkala setiap satu tahun sekali. &lt;br /&gt;
 &lt;br /&gt;
 Unggah komitmen tersebut pada Balis Infara (https://balis-infara.bapeten.go.id) sebagai bukti tindak lanjut hasil inspeks i&lt;br&gt;</t>
  </si>
  <si>
    <t>Telah dibuat komitmen melakukan pemantauan kesehatan pekerja radiasi secara rutin dan berkala setiap satu tahun sekali pada tanggal 20 januari 2026, namun pada saat inspeksi pada tanggal 8 juli 2026 kami lupa menunjukkan surat tersebut.</t>
  </si>
  <si>
    <t>Belum melakukan pemeriksaan kesehatan pekerja radiasi secara berkala, dimana pada tahun 2023 dan 2024 tidak dilakukan pemeriksaan kesehatan untuk pekerja ra-diasi.</t>
  </si>
  <si>
    <t>-Pelaku usaha wajib melakukan pemantauan kesehatan pekerja radiasi secara berkala setiap tahun.&lt;br /&gt;
 &lt;br /&gt;
 Untuk menutup temuan, unggah komit-men pelaku usaha untuk melakukan pemantauan kesehatan pekerja radiasi secara berkala melalui menu TLHI (Tindak Lanjut Hasil Inspeksi) Balis Infara (https://balis-infara.bapeten.go.id) sebagai bukti tindak lanjut hasil inspeksi.&lt;br /&gt;
 &lt;br&gt;</t>
  </si>
  <si>
    <t>Surat Pernyataan Komitmen yang di tanda tangani oleh Direktur untuk melaksanakan pemantauan kesehatan pekerja Radiasi pada RSD dr A. Dadi Tjokrodipo Kota Bandar Lampung</t>
  </si>
  <si>
    <t>Belum melakukan pemeriksaan kesehatan pekerja radiasi secara berkala, dimana pada tahun 2024 dan 2025 tidak dilakukan pemeriksaan kesehatan untuk pekerja radiasi.</t>
  </si>
  <si>
    <t>-Pelaku usaha wajib melakukan pemantauan kesehatan pekerja radiasi secara berkala setiap tahun. &lt;br /&gt;
 &lt;br /&gt;
 Untuk menutup temuan, unggah komitmen pelaku usaha untuk melakukan pemantauan kesehatan pekerja radiasi secara berkala melalui menu TLHI (Tindak Lanjut Hasil Inspeksi) Balis Infara (https://balis-infara.bapeten.go.id) sebagai bukti tindak lanjut hasil inspeksi. &lt;br&gt;</t>
  </si>
  <si>
    <t>Surat Pernyataan Pemeriksaan Kesehatan Pekerja Radiasi</t>
  </si>
  <si>
    <t>RSUD Dr. Achmad Mochtar Bukittinggi Fasilitas Radiologi Diagnostik dan Intervensional tidak melakukan pemeriksaan kesehatan untuk seluruh pekerja radiasi pada tahun 2023 dan 2024, dan belum melakukan pemantauan kesehatan tahun 2026.</t>
  </si>
  <si>
    <t>-RSUD Dr. Achmad Mochtar Bukittinggi agar: &lt;br /&gt;
 a. Melaksanakan pemeriksaan kesehatan untuk seluruh pekerja radiasi sesuai Peraturan BAPETEN terkait; &lt;br /&gt;
 b. Berkomitmen melakukan Pemantauan Kesehatan untuk seluruh pekerja radiasi secara rutin per tahun (maksimal 12 bulan) dan menyimpan rekaman hasil Pemantauan Kesehatan Pekerja Radiasi hingga 30 tahun setelah yang bersangkutan berhenti bekerja. &lt;br /&gt;
 Untuk menutup temuan, unggah hasil Pemeriksaan Kesehatan tahun 2026 dan Surat Komitmen dari Direktur untuk melakukan Pemantauan Kesehatan secara rutin pada menu TLHI (Tindak Lanjut Hasil Inspeksi) Balis Infara (https://balis-infara.bapeten.go.id) sebagai bukti tindak lanjut hasil inspeksi&lt;br /&gt;
 &lt;br&gt;</t>
  </si>
  <si>
    <t>Hasil Pemeriksaan Kesehatan tahun 2026Surat Komitmen dari Direktur untuk melakukan Pemantauan Kesehatan secara rutinHasil Pemeriksaan Kesehatan tahun 2026</t>
  </si>
  <si>
    <t>00204.01.03310.05.1.0726</t>
  </si>
  <si>
    <t>RSUD Dr. Achmad Mochtar Bukittinggi tidak dapat menunjukkan hasil pemantauan kesehatan tahun 2025.</t>
  </si>
  <si>
    <t>-RSUD Dr. Achmad Mochtar Bukittinggi agar:&lt;br /&gt;
 a. Melaksanakan pemeriksaan kesehatan untuk seluruh pekerja radiasi sesuai Peraturan BAPETEN terkait;&lt;br /&gt;
 b. Berkomitmen melakukan Pemantauan Kesehatan untuk seluruh pekerja radiasi secara rutin per tahun (maksimal 12 bulan) dan menyimpan rekaman hasil Pemantauan Kesehatan Pekerja Radiasi hingga 30 tahun setelah yang bersangkutan berhenti bekerja.&lt;br /&gt;
 &lt;br /&gt;
 Untuk menutup temuan, unggah Surat Komitmen dari Direktur untuk melakukan Pemantauan Kesehatan secara rutin pada menu TLHI (Tindak Lanjut Hasil Inspeksi) Balis Infara (https://balis-infara.bapeten.go.id) sebagai bukti tindak lanjut hasil inspeks&lt;br /&gt;
 &lt;br&gt;</t>
  </si>
  <si>
    <t>Terdapat pekerja radiasi yang tidak dapat ditunjukkan hasil pemantauan kesehatan atas nama : dr. Widya (tahun 2025)</t>
  </si>
  <si>
    <t>-BLU RS Otak DR. Drs. M. Hatta Bukittinggi agar:&lt;br /&gt;
 a. Melaksanakan pemeriksaan kesehatan untuk seluruh pekerja radiasi;&lt;br /&gt;
 b. Berkomitmen melakukan Pemantauan Kesehatan untuk seluruh pekerja radiasi secara rutin per tahun (maksimal 12 bulan) dan menyimpan rekaman hasil Pemantauan Kesehatan Pekerja Radiasi hingga 30 tahun setelah yang bersangkutan berhenti bekerja.&lt;br /&gt;
 &lt;br /&gt;
 Untuk menutup temuan, unggah hasil Pemeriksaan Kesehatan tahun 2025 dan Surat Komitmen dari Direktur untuk melakukan Pemantauan Kesehatan secara rutin pada menu TLHI (Tindak Lanjut Hasil Inspeksi) Balis Infara (https://balis-infara.bapeten.go.id) sebagai bukti tindak lanjut hasil inspeks&lt;br /&gt;
 &lt;br&gt;</t>
  </si>
  <si>
    <t>Temuan 2.04.02 Point 1: Surat Komitmen untuk melakukan Pemantauan Kesehatan secara rutin</t>
  </si>
  <si>
    <t>RSUD. Tjitrowardojo</t>
  </si>
  <si>
    <t>Jl. Jend. Sudirman No. 60</t>
  </si>
  <si>
    <t>Jl. Jend. Sudirman No. 60,Purworejo,Jawa Tengah</t>
  </si>
  <si>
    <t>00230.01.09095.01.1.0726</t>
  </si>
  <si>
    <t>Pekerja radiasi a.n. Evi Triana, Evi Maria Ulfa, Shulhan Azizy, Evan Agung Wibisono, Mochamad Dhani Ismail, dr. Gilang Airlangga, Sp.OT belum melakukan pemeriksaan kesehatan pada tahun 2025.</t>
  </si>
  <si>
    <t>-Pelaku Usaha agar membuat surat komitmen untuk melakukan pemeriksaan kesehatan secara teratur.&lt;br /&gt;
 &lt;br /&gt;
 Unggah surat komitmen tersebut melalui menu TLHI (Tindak Lanjut Hasil Inspeksi) di Sistem BALIS INFARA (https://balis-infara.bapeten.go.id) sebagai bukti tindak lanjut hasil inspeksi.&lt;br /&gt;
 &lt;br&gt;</t>
  </si>
  <si>
    <t>Berikut Surat Komitmen untuk melakukan pemeriksaan kesehatan secara teratur dari Direktur RSUD dr. Tjitrowardojo Purworejo</t>
  </si>
  <si>
    <t>Balai Besar Standardisasi dan Pelayanan Jasa Industri Kerajinan dan Batik</t>
  </si>
  <si>
    <t>Jl. Kusumanegara No. 7, Semaki, Umbulharjo</t>
  </si>
  <si>
    <t>Jl. Kusumanegara No. 7, Semaki, Umbulharjo,Yogyakarta,Daerah Istimewa Yogyakarta</t>
  </si>
  <si>
    <t>00237.01.13358.08.1.0726</t>
  </si>
  <si>
    <t>Tidak melakukan pemeriksaan kesehatan pekerja radiasi secara teratur (terakhir tanggal 29 Mei 2024).</t>
  </si>
  <si>
    <t>-Pelaku Usaha agar membuat surat komitmen untuk melaksanakan pemeriksaan kesehatan pekerja radiasi secara teratur.&lt;br /&gt;
 &lt;br /&gt;
 Unggah surat komitmen melalui menu TLHI (Tindak Lanjut Hasil Inspeksi) di Sistem BALIS INFARA (https://balis-infara.bapeten.go.id) sebagai bukti tindak lanjut hasil inspeksi.&lt;br /&gt;
 &lt;br /&gt;
 &lt;br&gt;</t>
  </si>
  <si>
    <t>Medikaloka Bogor</t>
  </si>
  <si>
    <t>Jl. Ring Road I, Kav. 23, 25, 27, Perumahan Taman Yasmin</t>
  </si>
  <si>
    <t>Jl. Ring Road I, Kav. 23, 25, 27, Perumahan Taman Yasmin,Bogor,Jawa Barat</t>
  </si>
  <si>
    <t>00229.01.06633.01.1.0726</t>
  </si>
  <si>
    <t>Terdapat pekerja radiasi yang belum melakukan pemeriksaan kesehatan:
 dr. Aditya Jayamanggala, Sp.OT
 dr. Rollando Erric Manibuy, Sp.OT
 dr. Mohammad Tsani Musyafa, Sp. OT, M.Kes
 dr. Irvan Kusumanegara, Sp.An
 dr.Arief Rachman Setiawan Sp.An
 dr. Kusuma Rizky Anggi S, Sp.OT
 Arifan Nur Ihsan
 Sulaesih
 Rizky Alanda
 Intan Nurmalia
 Heni Setianingrum</t>
  </si>
  <si>
    <t>-Melaksanakan pemeriksaan kesehatan untuk pekerja radiasi secara rutin 1 (satu) tahun sekali sesuai dengan Peraturan Kepala BAPETEN No 6 Tahun 2010 dan mencatat resume hasil pemeriksaan kesehatan ke dalam kartu kesehatan untuk masing-masing pekerja radiasi.&lt;br /&gt;
 &lt;br /&gt;
 Untuk menutup temuan, unggah resume pemeriksaan kesehatan yang menyatakan “Sehat / Fit” dan kartu kesehatan pekerja radiasi melalui menu TLHI pada sistem Balis Infara 2.0 https://balis-infara.bapeten.go.id/ sebagai bukti tindak lanjut hasil inspeksi.&lt;br /&gt;
 &lt;br&gt;</t>
  </si>
  <si>
    <t>Hasil MCU dr.Tsani, Hasil MCU dr.IrvanHASIL MCU RIZKY ALANDAMCU dr.Aditya Jayamanggala, Sp.OTMCU dr.Arief Rachman, Sp ANMCU Arifan Nur IhsanMCU SulaesihMCU HENI SETIANINGRUMMCU Intan NurmaliaMCU dr.Rollando Erick M, SpOTMCU dr.Kusuma Rizky , SpOT</t>
  </si>
  <si>
    <t>Terdapat pekerja radiasi yang belum melakukan pemeriksaan kesehatan :
 1. Anur Rahmad Yusuf
 2. Uan Seriadi
 3. Taufik Hidayat Permana</t>
  </si>
  <si>
    <t>-Melaksanakan pemeriksaan kesehatan rutin untuk pekerja radiasi tahun 2026.&lt;br /&gt;
 &lt;br /&gt;
 Untuk menutup temuan, unggah resume pemeriksaan kesehatan pekerja radiasi melalui menu TLHI pada sistem Balis Infara 2.0 https://balis-infara.bapeten.go.id/ sebagai bukti tindak lanjut hasil inspeksi.&lt;br /&gt;
 &lt;br&gt;</t>
  </si>
  <si>
    <t>Personnel atas nama 
 1. Anur Rahmat Yusuf
 2. Uan Seriadi
 3. Taufik Hidayat Permana
 Telah melakukan MCU/ pemerksaan kesehatan. Kami sertakan resume dari MCU ybs, di tambah dengan personnel yang akan di masukkan ke dalam izin yaitu :
 1. Agus Dani Yulianto
 2. Akhmad Tijan Durori
 3. Mokhamad Nur Fadilah</t>
  </si>
  <si>
    <t>Markindo Rekateknik</t>
  </si>
  <si>
    <t>Graha Arteri Mas II Kav. VI, Jl. Panjang No. 68, Kebon Jeruk</t>
  </si>
  <si>
    <t>Graha Arteri Mas II Kav. VI, Jl. Panjang No. 68, Kebon Jeruk,Jakarta Barat,DKI Jakarta</t>
  </si>
  <si>
    <t>00181.01.12064.14.1.0726</t>
  </si>
  <si>
    <t>Terdapat pekerja a.n Andry Fitrian yang tidak melakukan MCU sejak tahun 2023.</t>
  </si>
  <si>
    <t>-Pelaku Usaha agar berkomitmen untuk menyelenggarakan MCU bagi pekerja radiasi secara rutin dan berkala 1 (satu) kali dalam setahun.&lt;br /&gt;
 &lt;br /&gt;
 Untuk menutup temuan tersebut, unggah bukti berupa hasil MCU melalui menu TLHI (Tindak Lanjut Hasil Inspeksi) di Sistem Balis Infara (https://balis-infara.bapeten.go.id) sebagai bukti tindak lanjut hasil inspeksi.&lt;br&gt;</t>
  </si>
  <si>
    <t>PPR dan non PPR sudah melakukan MCU per Juli 2026</t>
  </si>
  <si>
    <t>• Pekerja radiasi a.n. Asep Feri Purnama terakhir melaksanakan pemantauan kesehatan tanggal 15 Juli 2025 dan belum melaksanakan pemeriksaan kesehatan tahun 2026.
 • Belum melakukan pemantauan kesehatan an. Forsanto Tambun dan Rudy Gunawan.</t>
  </si>
  <si>
    <t>-Pelaku usaha wajib melakukan pemantauan kesehatan kepada pekerja radiasi sesuai dengan ketentuan dalam Peraturan BAPETEN No.6 tahun 2010.&lt;br /&gt;
 &lt;br /&gt;
 Untuk menutup temuan, unggah bukti tindak lanjut berupa hasil pemantauan kesehatan pekerja radiasi a.n. Asep Feri Purnama, Forsanto Tambun dan Rudy Gunawan di tahun 2026 melalui menu TLHI (Tindak Lanjut Hasil Inspeksi) di Sistem Balis Infara (https://balis-infara. bapeten.go.id) sebagai bukti tindak lanjut hasil inspeksi.&lt;br&gt;-Pelaku Usaha agar melakukan dokumentasi pemantauan kesehatan untuk setiap pekerja radiasi dalam bentuk Kartu Kesehatan.&lt;br /&gt;
 &lt;br /&gt;
 Untuk menutup temuan, unggah bukti tindak lanjut berupa Kartu Kesehatan melalui menu TLHI (Tindak Lanjut Hasil Inspeksi) di Sistem Balis Infara (https://balis-infara. bapeten.go.id) sebagai bukti tindak lanjut hasil inspeksi&lt;br&gt;</t>
  </si>
  <si>
    <t>Pemantauan Kesehatan Pekerja Radiasi</t>
  </si>
  <si>
    <t>Pekerja radiasi a.n. Asep Feri Purnama terakhir melaksanakan pemantauan kesehatan tanggal 15 Juli 2025 dan belum melaksanakan pemeriksaan kesehatan tahun 2026.</t>
  </si>
  <si>
    <t>-Pelaku Usaha agar berkomitmen melakukan pemantauan kesehatan secara rutin sesuai dengan ketentuan yang ada di Peraturan BAPETEN No.6 tahun 2010.&lt;br /&gt;
 &lt;br /&gt;
 Untuk menutup temuan, unggah bukti tindak lanjut berupa:&lt;br /&gt;
 - Surat Komitmen dari pelaku usaha yang menyatakan bahwa akan melakukan pemantauan kesehatan secara rutin sesuai dengan ketentuan yang ada di Peraturan BAEPIEN No.6 tahun 2010,dan&lt;br /&gt;
 - Hasil Pemantauan Pekerja radiasi a.n. Asep Feri Purnama tahun 2026, &lt;br /&gt;
 &lt;br /&gt;
 melalui menu TLHI (Tindak Lanjut Hasil Inspeksi) Sistem Balis Infara (https://ba1is-infara.bapeten.go.id) sebagai bukti tindak lanjut hasil inspeksi.&lt;br&gt;-Pelaku Usaha agar melakukan dokumentasi hasil pemantauan kesehatan untuk setiap pekerja radiasi dalam bentuk kartu kesehatan.&lt;br /&gt;
 &lt;br /&gt;
 Unhrk menutup temuan, unggah bukti tindak lanjut berupa Kartu Kesehatan melalui menu TLHI (Tindak Lanjut Hasil Inspeksi) di Sistem Balis Infara (https://ba1is-infara.bapeten.go.id) sebagai bukti tindak lanjut hasil inspeksi.&lt;br&gt;</t>
  </si>
  <si>
    <t>Berikut kami lampirkan hasil Medical Check Up a.n Asep Feri Purnama begitu juga dengan kartu kesehatan pekerja</t>
  </si>
  <si>
    <t>Telah melakukan pemantauan kesehatan untuk pekerja radiasi atas nama Fida Selfiana Nst dan Wahyu Afriansyah di Tahun 2024, 2025 dan 2026, namun parameter pemeriksaan belum sesuai dengan yang ada di Peraturan BAPETEN No.6 Tahun 2010.</t>
  </si>
  <si>
    <t>-Pelaku Usaha agar berkomitmen untuk melakukan pemantauan kesehatan sesuai dengan ketentuan yang ada di Peraturan BAPETEN No.6 Tahun 2010.&lt;br /&gt;
 &lt;br /&gt;
 Untuk menutup temuan, unggah bukti tindak lanjut berupa Surat Komitmen yang ditandatangani oleh Direktur bahwa akan melakukan pemantauan kesehatan sesuai dengan ketentuan yang ada dalam Peraturan BAPETEN No.6 Tahun 2010, melalui menu TLHI (Tindak Lanjut Hasil Inspeksi) di Sistem Balis Infara (https://balis-infara. bapeten.go.id) sebagai bukti tindak lanjut hasil inspeksi.&lt;br&gt;-Pelaku Usaha agar melakukan dokumentasi terhadap pemantauan kesehatan untuk setiap pekerja radiasi dalam bentuk Kartu Kesehatan.&lt;br /&gt;
 &lt;br /&gt;
 Untuk menutup temuan, unggah bukti tindak lanjut berupa Kartu Kesehatarr melalui menu TLHI (Tindak Lanjut Hasil Inspeksi) di Sistem Balis Infara (https://balis-infara. bapeten.go.id) sebagai bukti tindak lanjut hasii inspeksi&lt;br&gt;</t>
  </si>
  <si>
    <t>Tindak lanjut berupa Surat Komitmen yang telah ditandatangani oleh Direktur bahwa akan melakukan pemantauan kesehatan sesuai dengan ketentuan yang ada dalam Peraturan BAPETEN No.6 Tahun 2010. Untuk rekomendasi no (2) merupakan tindak lanjut untuk temuan No. 3.04.03</t>
  </si>
  <si>
    <t>Pemantauan kesehatan pekerja radiasi terakhir dilakukan di bulan Mei 2025, tahun 2026 belum ada hasil pemantauan kesehatan pekerja radiasi</t>
  </si>
  <si>
    <t>-Pelaku Usaha agar :&lt;br /&gt;
 a. Melaksanakan pemeriksaan kesehatan untuk seluruh pekerja radiasi;&lt;br /&gt;
 b. Berkomitmen melakukan Pemantauan Kesehatan untuk seluruh pekerja radiasi secara rutin per tahun (12 bulan) dan menyimpan rekaman hasil Pemantauan Kesehatan Pekerja Radiasi hingga 30 tahun setelah yang bersangkutan berhenti bekerja.&lt;br /&gt;
 &lt;br /&gt;
 Untuk menutup temuan unggah hasil Pemeriksaan Kesehatan tahun 2026 dan Surat Komitmen dari Direktur untuk melakukan Pemantauan Kesehatan secara rutin pada menu TLHI (Tindak Lanjut Hasil Inspeksi) BALIS INFARA (https://balis-infara.bapeten.go.id) sebagai bukti tindak lanjut hasil inspeksi.&lt;br&gt;</t>
  </si>
  <si>
    <t>PT Trans Dana Profitri berkomitmen untuk melaksanakan dan menyimpan hasil pemantauan kesehatan pekerja radiasi dalam bentuk kartu kesehatan sesuai dengan ketentuan dan aturan BAPETEN.</t>
  </si>
  <si>
    <t>Seluruh pekerja radiasi belum dilakukan pemantauan kesehatan.</t>
  </si>
  <si>
    <t>-Pelaku usaha agar melalukan pemantauan kesehatan untuk seluruh pekerja radiasi secara rutin setiap 1 (satu) tahun sekali.&lt;br /&gt;
 &lt;br /&gt;
 Untuk menutup temuan unggah dokumen hasil pemantauan kesehatan tahun 2026 dan surat komitmen akan melakukan pemantauan kesehatan seluruh pekerja radiasi secara rutin di tandatangan manajemen, melalui menu TLHI (Tindak Lanjut Hasil Inspeksi) di Sistem Balis Infara (https://balis-infara.bapeten.go.id) sebagai bukti tindak lanjut hasil inspeksi.&lt;br&gt;</t>
  </si>
  <si>
    <t>Perusahaan telah melakukan Medical Check up kepada para pekerja radiasi untuk memantau kesehatan.</t>
  </si>
  <si>
    <t>Inti Mutu Sejahtera Nusantara</t>
  </si>
  <si>
    <t>Jl. Manggis I, No. 41 Saharjo, Manggarai</t>
  </si>
  <si>
    <t>Jl. Manggis I, No. 41 Saharjo, Manggarai,Jakarta Selatan,DKI Jakarta</t>
  </si>
  <si>
    <t>00246.01.02460.06.1.0826</t>
  </si>
  <si>
    <t>Terdapat beberapa pekerja radiasi tidak rutin melakukan pemantaua kesehatan.</t>
  </si>
  <si>
    <t>-Pelaku usaha agar melakukan pemantauan kesehatan pekerja radiasi secara rutin 1 (satu) tahun sekali.&lt;br /&gt;
 &lt;br /&gt;
 Untuk menutup temuan unggah surat komitmen untk melakukan pemantauan kesehatan pekerja radiasi secara rutin 1 (satu) tahun sekali melalui menu TLHI (Tindak Lanjut Hasil Inspeksi) di Sistem Balis Infara (https://balis-infara.bapeten.go.id) sebagai bukti tindak lanjut hasil inspeksi.&lt;br&gt;</t>
  </si>
  <si>
    <t>02.05.01</t>
  </si>
  <si>
    <t>Tidak memiliki peralatan sama sekali</t>
  </si>
  <si>
    <t>Tidak tersedia TLD lensa mata untuk pekerja radiasi pemeriksaan radiologi intervensional sebanyak 20 (dua puluh) badge TLD lensa mata semenjak cathlab dioperasikan pada Tahun 2023.
 Belum terpenuhinya komitmen surat pernyataan nomor 400.7.5.3/9519-um, tertanggal 11 Desember 2023, untuk melakukan pengadaan lensa mata.</t>
  </si>
  <si>
    <t>-Kode Temuan 2.05.01&lt;br /&gt;
 Pelaku usaha agar segera memenuhi komitmen untuk mengimplementasikan surat pernyataan nomor 400.7.5.3/9519-um, tertanggal 11 Desember 2023, mengenai komitmen untuk pengadaan lensa mata.&lt;br /&gt;
 &lt;br /&gt;
 Dokumen BAST (Berita Acara Serah Terima) diunggah di Sistem Balis Infara (https://balis-infara.bapeten.go.id) pada menu TLHI (Tindak Lanjut Hasil Inspeksi) sebagai bukti tindak lanjut hasil inspeksi.&lt;br /&gt;
 &lt;br&gt;</t>
  </si>
  <si>
    <t>00163.01.02944.13.1.0626</t>
  </si>
  <si>
    <t>Limbah hasil produksi radioisotop dan QC berupa limbah teraktivasi dan terkontaminasi belum disimpan dalam tempat penyimpanan sementara limbah sebelum dikirim ke instalasi pengolahan limbah radioaktif - BRIN.</t>
  </si>
  <si>
    <t>-Pelaku usaha agar menyediakan peralatan penanganan sumber di hotcell secara memadai seperti manipulator, menggati lampu beam pada pintu masuk ruang siklotron, memberi pelabelan bungkusan pengiriman radiofarmaka dengan mencantumkan UN Number dan menyediakan tempat penyimpanan sementara limbah sebelum dikirim ke instalasi pengolahan limbah radioaktif - BRIN.&lt;br /&gt;
 &lt;br /&gt;
 Untuk menutup temuan unggah seluruh dokumentasi /foto peralatan dan lampu beam setelah diperbaiki.&lt;br&gt;</t>
  </si>
  <si>
    <t>02.05.02</t>
  </si>
  <si>
    <t>Tidak memiliki sebagian peralatan</t>
  </si>
  <si>
    <t>1. Belum memiliki peralatan pemantauan kontaminasi pekerja radiasi maupun pasien layanan kedokteran nuklir (Hand and Foot monitor);
 2. Kit dekontaminasi (radiacwash) yang digunakan untuk dekontaminasi telah habis;
 3. Pada Fasilitas layanan kedokteran nuklir di pintu keluar pasien keluar ruangan pemeriksaan terdapat handle pintu yang rusak, sehingga menyulitkan pasien untuk keluar ruangan.
 4. Tempat pengolahan limbah radioaktif yang berada di luar gedung layanan kedokteran nuklir, terdapat pipa untuk mengalirkan hasil pengolahan limbah ke IPAL RS dengan menggunakan pompa, namun: 
 • Bagaimana memastikan bahwa pompa dapat berfungsi dengan baik?
 • Bagaimana cara untuk mengambil sampling limbah radioaktif yang telah dikelola dan akan masuk ke IPAL bahwa telah bebas dari radioaktif?</t>
  </si>
  <si>
    <t>-BLU RSUP. Prof. Dr. R.D. Kandou Manado harus:&lt;br /&gt;
 1) Memastikan pemantauan kontaminasi pekerja radiasi maupun pasien layanan kedokteran nuklir;&lt;br /&gt;
 2) Menyediakan kit dekontaminasi yang telah habis;&lt;br /&gt;
 3) Memperbaiki handle pintu keluar pasien ruang pemeriksaan yang rusak;&lt;br /&gt;
 4) Memastikan pompa untuk mengalirkan limbah ke IPAL dapat berfungsi dengan baik;&lt;br /&gt;
 5) Menyediakan saluran untuk sampling hasil pengelolaan limbah radioaktif sebelum masuk IPAL.&lt;br /&gt;
 &lt;br /&gt;
 Unggah foto penyediaan hand and foot monitor, kit dekontaminasi, perbaikan handle pintu dan valve/saluran sampling di fasilitas kedokteran nuklir pada menu TLHI (Tindak Lanjut Hasil Inspeksi) BALIS INFARA (https://balis-infara.bapeten.go.id) sebagai bukti tindak lanjut hasil inspeksi.&lt;br /&gt;
 &lt;br&gt;</t>
  </si>
  <si>
    <t>a. Belum memiliki TLD badge kontrol di ruangan.
 b. Belum memiliki surveimeter.</t>
  </si>
  <si>
    <t>-Pelaku Usaha agar menyediakan TLD badge kontrol di instalasi radiologi.&lt;br /&gt;
 &lt;br /&gt;
 Unggah bukti pengadaan TLD kontrol tersebut melalui menu TLHI (Tindak Lanjut Hasil Inspeksi) di Sistem Balis Infara (https://balis-infara.bapeten.go.id) sebagai bukti tindak lanjut hasil inspeksi.&lt;br /&gt;
 &lt;br /&gt;
 &lt;br&gt;-Pelaku Usaha agar menyediakan penambahan apron di fasilitas radiologi sesuai dengan analisis kebutuhan.&lt;br /&gt;
 &lt;br /&gt;
 Unggah bukti pengadaan penambahan apron tersebut melalui menu TLHI (Tindak Lanjut Hasil Inspeksi) di Sistem Balis Infara (https://balis-infara.bapeten.go.id) sebagai bukti tindak lanjut hasil inspeksi.&lt;br /&gt;
 &lt;br /&gt;
 &lt;br&gt;</t>
  </si>
  <si>
    <t>BUKTI PENGADAAN SURVEIMETERBUKTI PENGADAAN TLD</t>
  </si>
  <si>
    <t>Pesawat sinar-x mobile pada ruang ICU belum dilengkapi dengan peralatan keselamatan berupa tabir Pb.</t>
  </si>
  <si>
    <t>-Pelaku usaha agar membuat surat pernyataan yang berisi komitmen untuk mengadakan peralatan keselamatan berupa tabir Pb paling lambat 31 Desember 2026 yang ditandatangani oleh Direktur Rumah Sakit&lt;br /&gt;
 &lt;br /&gt;
 Untuk menutup temuan, unggah dokumen berupa surat pernyataan tersebut diatas melalui menu TLHI (Tindak Lanjut Hasil Inspeksi) di Sistem Balis Infara (https://balis-infara.bapeten.go.id) sebagai bukti tindak lanjut hasil inspeksi.&lt;br&gt;</t>
  </si>
  <si>
    <t>Borneo Alumina Indonesia</t>
  </si>
  <si>
    <t>Gedung Aneka Tambang Lantai 2, Jalan T.B. Simatupang, Nomor 1 Lingkar Selatan, Kelurahan Tanjung Barat, Kec. Jagakarsa</t>
  </si>
  <si>
    <t>Gedung Aneka Tambang Lantai 2, Jalan T.B. Simatupang, Nomor 1 Lingkar Selatan, Kelurahan Tanjung Barat, Kec. Jagakarsa,Jakarta Selatan,DKI Jakarta</t>
  </si>
  <si>
    <t>00083.01.15159.08.1.0526</t>
  </si>
  <si>
    <t>1. Peralatan keselamatan berupa tanda radiasi belum dipasang di beberapa area disekitar ZRA.
 2. ZRA belum dilengkapi dengan label identitas yang berisi informasi: Jenis ZRA, Tipe, dan Nomor Seri.</t>
  </si>
  <si>
    <t>-Pelaku usaha agar Memasang label identitas ZRA yang berisi informasi: Jenis ZRA, Tipe, dan Nomor Seri.&lt;br /&gt;
 &lt;br /&gt;
 Untuk menutup temuan, unggah dokumen berupa foto label identitas ZRA yang sudah dipasang melalui menu TLHI (Tindak Lanjut Hasil Inspeksi) di Sistem Balis Infara (https://balis-infara.bapeten.go.id) sebagai bukti tindak lanjut hasil inspeksi.&lt;br&gt;-Pelaku usaha agar memasang tanda radiasi belum di beberapa area disekitar ZRA.&lt;br /&gt;
 &lt;br /&gt;
 Untuk menutup temuan, unggah dokumen berupa foto tanda radiasi di beberapa area disekitar ZRA yang sudah terpasang melalui menu TLHI (Tindak Lanjut Hasil Inspeksi) di Sistem Balis Infara (https://balis-infara.bapeten.go.id) sebagai bukti tindak lanjut hasil inspeksi.&lt;br&gt;</t>
  </si>
  <si>
    <t>Tabel Identifikasi Zat Radioaktif sudah terpasang di Source dan TransmitterPemasangan Tanda Radiasi pada Sekitar Area Pemasangan Zat Radioaktif</t>
  </si>
  <si>
    <t>Lampu merah peringatan radiasi menyala tidak tersedia</t>
  </si>
  <si>
    <t>-Pelaku Usaha segera memasang lampu merah peringatan radiasi &lt;br /&gt;
 &lt;br /&gt;
 Untuk menutup temuan, unggah bukti pemasangan lampu merah pada menu TLHI (Tindak Lanjut Hasil Inspeksi) Balis Infara (https://balis-infara.bapeten.go.id) sebagai bukti tindak lanjut hasil inspeksi&lt;br /&gt;
 &lt;br&gt;-Pelaku Usaha segera melakukan kalibrasi surveymeter ke Fasilitas Kalibrasi.&lt;br /&gt;
 &lt;br /&gt;
 Untuk menutup temuan, unggah sertifikat kalibrasi surveymeter yang berlaku pada menu TLHI (Tindak Lanjut Hasil Inspeksi) Balis Infara (https://balis-infara.bapeten.go.id) sebagai bukti tindak lanjut hasil inspeksi&lt;br&gt;</t>
  </si>
  <si>
    <t>Bukti Lampu Merah dan Kalibrasi Surveymeter</t>
  </si>
  <si>
    <t>beberapa ruang pemeriksaan tidak dilengkapi dengan lampu merah antara lain ruang pemeriksaan 6 lantai 2, ruang pemeriksaan igd, dan ruang eswl.</t>
  </si>
  <si>
    <t>-BLU RUMAH SAKIT UMUM DR.SLAMET KABUPATEN GARUT harus memastikan bahwa seluruh ruang penyinaran dilengkapi dengan lampu merah tanda penyinaran berlangsung.&lt;br /&gt;
 &lt;br /&gt;
 Unggah bukti pemasangan lampu merah dan uji fungsi lampu merah pada menu TLHI (Tindak Lanjut Hasil Inspeksi) BALIS INFARA (https://balis-infara.bapeten.go.id) sebagai bukti tindak lanjut hasil inspeksi&lt;br&gt;-BLU RUMAH SAKIT UMUM DR.SLAMET KABUPATEN GARUT harus memastikan bahwa paparan radiasi yang keluar dari pintu ruang penyinaran tidak melebihi pembatas dosis untuk Masyarakat.&lt;br /&gt;
 &lt;br /&gt;
 Unggah bukti perbaikan pintu dan pengukuran paparan setelah perbaikan pintu pada menu TLHI (Tindak Lanjut Hasil Inspeksi) BALIS INFARA (https://balis-infara.bapeten.go.id) sebagai bukti tindak lanjut hasil inspeksi&lt;br&gt;</t>
  </si>
  <si>
    <t>1. belum memiliki kacamata Pb dengan jumlah yang memadai
 2. belum memiliki Surveymeter Gamma</t>
  </si>
  <si>
    <t>-BLU RS. Tk. II. 03.05.01. Dustira / Kesdam III Siliwangi wajib menyediakan peralatan keselamatan yang sesuai baik jumlah maupun spesifikasi alat.&lt;br /&gt;
 &lt;br /&gt;
 Unggah bukti pengadaan kacamata Pb dan Surveymeter Gamma serta perbaikan atau pengadaan Tabir mobile baru pada menu TLHI (Tindak Lanjut Hasil Inspeksi) BALIS INFARA (https://balis-infara.bapeten.go.id) sebagai bukti tindak lanjut hasil inspeksi.&lt;br&gt;</t>
  </si>
  <si>
    <t>Tidak terdapat tanda peringatan bahaya radiasi dan tulisan peringatan wanita hamil pada ruang CT-Scan</t>
  </si>
  <si>
    <t>-Pelaku Usaha agar melengkapi tanda peringatan bahaya radiasi dan tulisan peringatan wanita hamil pada ruang CT-Scan.&lt;br /&gt;
 &lt;br /&gt;
 Untuk menutup temuan, unggah foto bukti pemasangan tanda melalui menu TLHI (Tindak Lanjut Hasil Inspeksi) di Sistem Balis Infara (https://balis-infara.bapeten.go.id) sebagai bukti tindak lanjut hasil inspeksi.&lt;br /&gt;
 &lt;br&gt;-Pelaku Usaha agar melakukan perbaikan dan uji kesesuaian ulang terhadap pesawat Sinar-X Merk DR-GEM GXR 40 GAD16B1496 - 125/500 GXR 40 GAD16B1496.&lt;br /&gt;
 &lt;br /&gt;
 Untuk menutup temuan, unggah bukti pelaksanaan uji kesesuaian melalui menu TLHI (Tindak Lanjut Hasil Inspeksi) di Sistem Balis Infara (https://balis-infara.bapeten.go.id) sebagai bukti tindak lanjut hasil inspeksi.&lt;br&gt;</t>
  </si>
  <si>
    <t>Di pintu pemeriksaan CT scan dan kamar ganti pasien sudah terdapat tanda peringatan bahaya radiasi dan tulisan peringatan wanita hamil pada ruang CT-Scan</t>
  </si>
  <si>
    <t>RSUD Dr. Achmad Mochtar Bukittinggi tidak memiliki peralatan keselamatan radiasi sarung tangan proteksi (sarung tangan proteksi yang digunakan untuk radiologi intervensional harus memberikan kesetaraan atenuasi paling sedikit 0.25 mm).</t>
  </si>
  <si>
    <t>-RSUD Dr. Achmad Mochtar Bukittinggi agar melengkapi peralatan keselamatan dan proteksi radiasi (sarung tangan Pb) sesuai dengan peraturan BAPETEN.&lt;br /&gt;
 Untuk menutup temuan, unggah surat komitmen agar melengkapi peralatan keselamatan dan proteksi radiasi (sarung tangan Pb) dari Direktur RSUD Dr. Achmad Mochtar Bukittinggi tersebut pada menu TLHI (Tindak Lanjut Hasil Inspeksi) BALIS INFARA (https://balis infara.bapeten.go.id) sebagai bukti tindak lanjut hasil inspeksi&lt;br /&gt;
 &lt;br&gt;</t>
  </si>
  <si>
    <t>Peralatan keselamatan dan proteksi radiasi (sarung tangan Pb)Peralatan keselamatan dan proteksi radiasi (sarung tangan Pb)</t>
  </si>
  <si>
    <t>1. RSUD Dr. Achmad Mochtar Bukittinggi tidak memiliki perlengkapan keselamatan radiasi berupa blok Pb.
 2. Area yang berlokasi di samping ruangan LINAC belum dilengkapi dengan tanda radiasi</t>
  </si>
  <si>
    <t>-RSUD Dr. Achmad Mochtar Bukittinggi agar melengkapi perlengkapan keselamatan dan proteksi radiasi (blok Pb) di fasilitas radioterapi sesuai dengan peraturan BAPETEN.&lt;br /&gt;
 &lt;br /&gt;
 Untuk menutup temuan, unggah surat komitmen agar melengkapi peralatan keselamatan dan proteksi radiasi (blok Pb) dari Direktur BLU RSUD Dr. Achmad Mochtar Bukittinggi tersebut pada menu TLHI (Tindak Lanjut Hasil Inspeksi) BALIS INFARA (https://balis-infara.bapeten.go.id) sebagai bukti tindak lanjut hasil inspeksi&lt;br /&gt;
 &lt;br /&gt;
 &lt;br&gt;-RSUD Dr. Achmad Mochtar Bukittinggi untuk memasang tanda bahaya radiasi pada area publik yang berlokasi di samping ruangan LINAC&lt;br /&gt;
 &lt;br /&gt;
 Unggah bukti pemasangan tanda radiasi tersebut pada menu TLHI (Tindak Lanjut Hasil Inspeksi) BALIS INFARA (https://balis-infara.bapeten.go.id) sebagai bukti tindak lanjut hasil inspeksi.&lt;br /&gt;
 &lt;br&gt;</t>
  </si>
  <si>
    <t>BLU RS Otak DR. Drs. M. Hatta tidak memiliki peralatan keselamatan radiasi sarung tangan proteksi (sarung tangan proteksi yang digunakan untuk radiologi intervensional harus memberikan kesetaraan atenuasi paling sedikit 0.25 mm).</t>
  </si>
  <si>
    <t>-BLU RS Otak DR. Drs. M. Hatta agar melengkapi peralatan keselamatan dan proteksi radiasi (sarung tangan Pb) untuk radiologi intervensional sesuai dengan peraturan BAPETEN.&lt;br /&gt;
 &lt;br /&gt;
 Untuk menutup temuan, unggah surat komitmen agar melengkapi peralatan keselamatan dan proteksi radiasi (sarung tangan Pb) dari Direktur BLU RS Otak DR. Drs. M. Hatta tersebut pada menu TLHI (Tindak Lanjut Hasil Inspeksi) BALIS INFARA (https://balis infara.bapeten.go.id) sebagai bukti tindak lanjut hasil inspeksi&lt;br /&gt;
 &lt;br&gt;</t>
  </si>
  <si>
    <t>Temuan 2.05.02 Point 1: Surat Komitmen Melengkapi Peralatan Keselamatan dan Proteksi RadiasiTemuan 2.05.02 Point 1: Surat Pemesanan Sarung Tangan Pb</t>
  </si>
  <si>
    <t>Fasilitas Layanan Kedokteran Nuklir: Tempat pengolahan limbah radioaktif, tidak tersedia saluran khusus untuk mengambil sampling limbah radioaktif yang telah dikelola dan akan masuk ke IPAL bahwa telah bebas dari radioaktif</t>
  </si>
  <si>
    <t>-RSUP Dr. M. Djamil Padang harus:&lt;br /&gt;
 Menyediakan saluran untuk sampling hasil pengelolaan limbah radioaktif sebelum masuk IPAL.&lt;br /&gt;
 &lt;br /&gt;
 Unggah foto penyediaan saluran untuk sampling hasil pengelolaan limbah radioaktif sebelum masuk IPAL pada menu TLHI (Tindak Lanjut Hasil Inspeksi) BALIS INFARA (https://balis-infara.bapeten.go.id) sebagai bukti tindak lanjut hasil inspeksi.&lt;br&gt;</t>
  </si>
  <si>
    <t>RSUP Dr. M. Djamil Padang tidak memiliki peralatan keselamatan radiasi sarung tangan proteksi (sarung tangan proteksi yang digunakan untuk radiologi intervensional harus memberikan kesetaraan atenuasi paling sedikit 0.25 mm).</t>
  </si>
  <si>
    <t>-RSUP Dr. M. Djamil Padang agar melengkapi peralatan keselamatan dan proteksi radiasi (sarung tangan Pb) sesuai dengan peraturan BAPETEN.&lt;br /&gt;
 &lt;br /&gt;
 Unggah surat komitmen agar melengkapi peralatan keselamatan dan proteksi radiasi (sarung tangan Pb) dari Direktur RSUP Dr. M. Djamil Padang tersebut pada menu TLHI (Tindak Lanjut Hasil Inspeksi) BALIS INFARA (https://balis infara.bapeten.go.id) sebagai bukti tindak lanjut hasil inspeksi&lt;br&gt;</t>
  </si>
  <si>
    <t>Pada pintu ruang penyinaran dental intra oral belum tersedia tanda radiasi, peringatan bahaya radiasi dan peringatan untuk wanita hamil</t>
  </si>
  <si>
    <t>-Melengkapi pintu ruang penyinaran dental dengan lambang radiasi, peringatan bahaya radiasi dan peringatan untuk wanita hamil.&lt;br /&gt;
 &lt;br /&gt;
 Untuk menutup temuan, unggah foto pintu ruang penyinaran dental yagm sudah dilengkapi lambang radiasi, peringatan bahaya radiasi dan peringatan untuk wanita hamil melalui menu TLHI pada sistem Balis Infara 2.0 https://balis-infara.bapeten.go.id/ sebagai bukti tindak lanjut hasil inspeksi.&lt;br&gt;</t>
  </si>
  <si>
    <t>Pintu ruang X Ray Dental sudah dilengkapi penanda radiasi dan peringatan untuk ibu hamil</t>
  </si>
  <si>
    <t>Tidak terdapat tanda radiasi, peringatan bahaya radiasi dan peringatan wanita hamil di pintu masuk ruang penyinaran</t>
  </si>
  <si>
    <t>-Memasang tanda radiasi, peringatan bahaya radiasi dan peringatan wanita hamil di pintu masuk ruang penyinaran&lt;br /&gt;
 &lt;br /&gt;
 Untuk menutup temuan, unggah foto melalui menu TLHI pada sistem Balis Infara 2.0 https://balis-infara.bapeten.go.id/ sebagai bukti tindak lanjut hasil inspeksi.&lt;br /&gt;
 &lt;br&gt;</t>
  </si>
  <si>
    <t>sudah terpasang tanda bahaya radiasi dan ibu hamil di pintu ruang ct scan dan rongent</t>
  </si>
  <si>
    <t>Belum memiliki kontainer darurat untuk sumber radioaktif.</t>
  </si>
  <si>
    <t>-Pelaku Usaha agar menyediakan kontainer darurat untuk sumber radioaktif.&lt;br /&gt;
 &lt;br /&gt;
 Untuk menutup temuan, unggah bukti tindak lanjut berupa foto kontainer darurat yang sudah dimiliki, melalui menu TLHI (Tindak Lanjut Hasil Inspeksi) di Sistem Balis Infara (https://balis-infara. bapeten.go.id) sebagai bukti tindak lanjut hasil inspeksi.&lt;br&gt;-Pelaku Usaha agar melakukan penambahan dan perbaikan pengoperasian CCTV sesuai dengan rekomendasi inspektur.&lt;br /&gt;
 &lt;br /&gt;
 Untuk menutup temuan, unggah bukti tindak lanjut berupa foto tangkapan layar&lt;br /&gt;
 sebelum dan sesudah dilakukan penambahan dan perbaikan CCTV melalui menu TLHI (Tindak Lanjut Hasil lnspeksi) di Sistem Balis Infara {https://balis-infara.bapeten.go.id) Sebagai bukti tindak lanjut hasil inspeksi.&lt;br&gt;</t>
  </si>
  <si>
    <t>02.05.03</t>
  </si>
  <si>
    <t>Peralatan tidak berfungsi dengan baik</t>
  </si>
  <si>
    <t>a. RSUD ODSK Provinsi Sulawesi Utara tidak dapat menunjukkan Sertifikat Hasil Uji kesesuaian yang berlaku untuk beberapa pesawat sinar-x yaitu :
 1. Pesawat Sinar-X Radiografi Uum (Terpasang Tetap) Philips : Digital Diagnost C90, Merk tabung Philips : tipe tabung SRO 33100, no seri tabung 273728 
 2. Pesawat Sinar-X Radiografi Umum (Mobile) : GE : Optima Canon : tipe tabung E7894 : No. seri tabung 1H0100 
 3. Pesawat Sinar-X Fluoroskopi ( C-arm Penunjang Bedah) : GE : OEC One CFD, merk tabung Hangzhou Kailong : Tipe tabung KL188SBR0612125, No seri tabung 218381HL2 
 4. Pesawat Sinar-X CT-Scan (CT-Scan Konvensional) : GE : Revolution Maxima GE : Tipe tabung MX200CT III Tube / 5401074, No seri tabung 116503BA4
 5. Pesawat Mammografi Metaltronica Merk tabung Helianthus DBT, Tipe tabung XM1016T, No. Seri tabung 672216
 b. Belum melakukan Kalibrasi Dosimeter baca langsung yang digunakan di Intervensional (terakhir kalibrasi 2023);
 c. Terdapat kebocoran pada plafon ruang operator di Ruang Operator Pesawat Radiografi Umum (Terpasang Tetap) Philips : Digital Diagnost C90</t>
  </si>
  <si>
    <t>-a. RSUD ODSK Provinsi Sulawesi Utara wajib memastikan seluruh Pesawat Sinar – X yang digunakan dalam kondisi andal.&lt;br /&gt;
 Unggah Sertifikat Uji Kesesuaian dengan hasil Andal untuk pesawat sinar-X tersebut pada menu TLHI (Tindak Lanjut Hasil Inspeksi) Balis Infara (https://balis-infara.bapeten.go.id) sebagai bukti tindak lanjut hasil inspeksi.&lt;br /&gt;
 &lt;br /&gt;
 b. RSUD ODSK Provinsi Sulawesi Utara wajib:Melakukan kalibrasi dosimeter baca langsung secara rutin per tahun;&lt;br /&gt;
 Unggah bukti Sertifikat Kalibrasi dosimeter baca langsung pada menu TLHI (Tindak Lanjut Hasil Inspeksi) BALIS INFARA (https://balis-infara.bapeten.go.id) sebagai bukti tindak lanjut hasil inspeksi&lt;br /&gt;
 &lt;br /&gt;
 c. RSUD ODSK Provinsi Sulawesi Utara harus melakukan perbaikan pada area yang bocor agar tidak menimbulkan konsleting. &lt;br /&gt;
 Unggah bukti tindakan perbaikan yang dilakukan tersebut pada menu TLHI (Tindak Lanjut Hasil Inspeksi) Balis Infara (https://balis-infara.bapeten.go.id)sebagai bukti tindak lanjut hasil inspeksi.&lt;br /&gt;
 &lt;br /&gt;
 &lt;br&gt;</t>
  </si>
  <si>
    <t>Layanan radioterapi Teleterapi Co-60 menggunakan sumber Co-60 yang saat ini aktivitasnya 2.239,81 Ci (sesuai data sertifikat sumber dari manufacture).</t>
  </si>
  <si>
    <t>-BLU RSUP Prof. Dr. R.D Kandou Manado agar:&lt;br /&gt;
 • Fisikawan Medis melakukan pengukuran laju dosis aktual pada kondisi standar (SSD=80 cm; luas lapangan 10x10 dan kedalaman referensi);&lt;br /&gt;
 • Dan melakukan justifikasi mengenai penggunaan Co-60 yang ada untuk tetap digunakan untuk layanan pasien atau dilakukan penggantian sumbernya. &lt;br /&gt;
 Unggah hasil pengukuran laju dosis aktualnya dan hasil justifikasi penggunaan Teleterapi Co-60 untuk layanan pasien.tersebut pada menu TLHI (Tindak Lanjut Hasil Inspeksi) BALIS INFARA (https://balis-infara.bapeten.go.id) sebagai bukti tindak lanjut hasil inspeksi.&lt;br /&gt;
 &lt;br&gt;-BLU RSUP. Prof. Dr. R.D. Kandou Manado harus melakukan dosimeter saku dan monitor area di ruangan Brakhiterapi&lt;br /&gt;
 Unggah Sertifikat Kalibrasi peralatan tersebut pada menu TLHI (Tindak Lanjut Hasil Inspeksi) BALIS INFARA (https://balis-infara.bapeten.go.id) sebagai bukti tindak lanjut hasil inspeksi.&lt;br /&gt;
 &lt;br&gt;-BLU RSUP. Prof. Dr. R.D. Kandou Manado&lt;br /&gt;
 untuk memasang tanda bahaya radiasi pada area publik yang berlokasi di samping ruangan bunker LINAC&lt;br /&gt;
 &lt;br /&gt;
 Unggah bukti pemasangan tanda radiasi tersebut pada menu TLHI (Tindak Lanjut Hasil Inspeksi) BALIS INFARA (https://balis-infara.bapeten.go.id) sebagai bukti tindak lanjut hasil inspeksi.&lt;br /&gt;
 &lt;br&gt;</t>
  </si>
  <si>
    <t>Fisikawan Medis melakukan analisis keluaran berkas radiasi Cobalt - 60 dan mengeluarkan rekomendasi Telah dilakukan kalibrasi pada brakhiterapi dan teleterapi cobalt-60</t>
  </si>
  <si>
    <t>a. Pintu masuk pasien ruangan CT Scan tidak tertutup rapat.
 b. Penyediaan lemari khusus penyimpanan apron 
 c. Lampu merah di ruangan CT Scan tidak menyala secara otomatis pada saat penyinaran
 d. Siloam Hospitals Manado tidak dapat menunjukkan Sertifikat Hasil Uji kesesuaian yang berlaku untuk pesawat di bawah ini : MAMMOGRAFI Merek Tabung: Siemens Model Tabung: P40MoW3122509, Nomor Seri Tabung: 502198</t>
  </si>
  <si>
    <t>-RS. Siloam Hospital Manado harus: &lt;br /&gt;
 a. Melakukan perbaikan pintu ruangan CT-Scan &lt;br /&gt;
 b. Memperbaiki lampu indikator eksposi di ruangan CT-Scan; &lt;br /&gt;
 c. Menyiapkan ruangan atau lemari khusus penyimpanan apron &lt;br /&gt;
 &lt;br /&gt;
 Unggah hasil perbaikan pintu, dan ruang, perbaikan lampu indikator eksposi di ruangan CT-Scanatau lemari penyimpanan apron oleh Siloam Hospitals Manado pada menu TLHI (Tindak Lanjut Hasil Inspeksi) Balis Infara (https://balis infara.bapeten.go.id) sebagai bukti tindak lanjut hasil inspeksi &lt;br /&gt;
 &lt;br&gt;-Siloam Hospitals Manado wajib memastikan seluruh Pesawat Sinar–X yang digunakan dalam kondisi andal. &lt;br /&gt;
  &lt;br /&gt;
 Unggah Sertifikat Uji Kesesuaian dengan hasil Andal untuk pesawat sinar-X tersebut pada menu TLHI (Tindak Lanjut Hasil Inspeksi) BALIS INFARA (https://balis infara.bapeten.go.id) sebagai bukti tindak lanjut hasil inspeksi.&lt;br&gt;</t>
  </si>
  <si>
    <t>Lampu merah tidak berfungsi di Ruangan I.</t>
  </si>
  <si>
    <t>-Pelaku Usaha agar melakukan perbaikan lampu merah di atas pintu masuk ruangan pemeriksaan I.&lt;br /&gt;
 &lt;br /&gt;
 Unggah foto hasil perbaikan tersebut melalui menu TLHI (Tindak Lanjut Hasil Inspeksi) di Sistem Balis Infara (https://balis-infara.bapeten.go.id) sebagai bukti tindak lanjut hasil inspeksi.&lt;br /&gt;
 &lt;br&gt;</t>
  </si>
  <si>
    <t>LAMPU RADIASI SUDAH NYALA</t>
  </si>
  <si>
    <t>Direktorat Fasilitas Pelayanan Kesehatan Rujukan Kementerian Kesehatan</t>
  </si>
  <si>
    <t>Jl. H.R. Rasuna Said Blok X5, Kavling 4-9</t>
  </si>
  <si>
    <t>Jl. H.R. Rasuna Said Blok X5, Kavling 4-9,Jakarta Pusat,DKI Jakarta</t>
  </si>
  <si>
    <t>00075.01.14147.01.1.0426</t>
  </si>
  <si>
    <t>Terdapat lampu merah yang tidak berfungsi di atas pintu masuk ruangan pemeriksaan.</t>
  </si>
  <si>
    <t>-Pihak Instansi agar melakukan perbaikan lampu merah di atas pintu masuk ruangan pemeriksaan.&lt;br /&gt;
 &lt;br /&gt;
 Unggah foto hasil perbaikan tersebut melalui menu TLHI (Tindak Lanjut Hasil Inspeksi) di Sistem Balis Infara (https://balis-infara.bapeten.go.id) sebagai bukti tindak lanjut hasil inspeksi.&lt;br /&gt;
 &lt;br&gt;-Pihak Instansi agar melakukan kalibrasi ulang untuk surveimeter tersebut.&lt;br /&gt;
 &lt;br /&gt;
 Unggah sertifikat kalibrasi surveimeter yang berlaku tersebut melalui menu TLHI (Tindak Lanjut Hasil Inspeksi) di Sistem Balis Infara (https://balis-infara.bapeten.go.id) sebagai bukti tindak lanjut hasil inspeksi.&lt;br&gt;</t>
  </si>
  <si>
    <t>Lampu merah didepan ruang pemeriksaan (indikator tanda bahaya radiasi)Sertifikat surveymeter gamma pehamed SN. 0337</t>
  </si>
  <si>
    <t>a. Terdapat lampu merah yang tidak berfungsi di atas pintu masuk ruangan pemeriksaan. 
 b. Untuk ruangan Fluoroskopi lampu merah belum terpasang.</t>
  </si>
  <si>
    <t>-Pelaku Usaha agar melakukan perbaikan dan pemasangan lampu merah di atas pintu masuk ruangan pemeriksaan.&lt;br /&gt;
 &lt;br /&gt;
 Unggah foto hasil perbaikan tersebut melalui menu TLHI (Tindak Lanjut Hasil Inspeksi) di Sistem Balis Infara (https://balis-infara.bapeten.go.id) sebagai bukti tindak lanjut hasil inspeksi.&lt;br /&gt;
 &lt;br&gt;</t>
  </si>
  <si>
    <t>Perbaikan dan Pemasangan Lampu Merah di atas pintu masuk ruangan pemeriksaan RS. Dr. tadjuddin Chalid</t>
  </si>
  <si>
    <t>Interkom Linac 1 sebagai media komunikasi antara petugas dan pasien tidak berfungsi</t>
  </si>
  <si>
    <t>-Pelaku Usaha segera memperbaiki peralatan Interkom agar berfungsi.&lt;br /&gt;
 &lt;br /&gt;
 Untuk menutup temuan, unggah bukti perbaikan/berita acara perbaikan Interkom pada menu TLHI (Tindak Lanjut Hasil Inspeksi) Balis Infara (https://balis-infara.bapeten.go.id) sebagai bukti tindak lanjut hasil inspeksi&lt;br&gt;</t>
  </si>
  <si>
    <t>Upload Surat Keterangan Perbaikan yang telah di TTD oleh Direktur Rumah Sakit Mitra Keluarga Bekasi Timur serta bermaterai</t>
  </si>
  <si>
    <t>beberapa pintu ruang penyinaran tidak dapat menahan radiasi dengan baik, paparan radiasi di luar pintu mencapai 0.51 uSv/jam</t>
  </si>
  <si>
    <t>Tabir mobile untuk pesawat italray dalam kondisi rusak roda sehingga tidak dapat digunakan.</t>
  </si>
  <si>
    <t>1. Sertifikat kalibrasi untuk seluruh dosimeter aktif telah habis masa berlaku, saat ini sedang proses kalibrasi ke BPFK sehingga Pekerja Radiasi yang menggunakan alat Cathlab tidak ada yang menggunakan dosimeter aktif</t>
  </si>
  <si>
    <t>-RSU. Santosa Hospital Bandung Central wajib menyediakan peralatan keselamatan yang sesuai baik jumlah maupun spesifikasi alat.&lt;br /&gt;
 &lt;br /&gt;
 Unggah bukti sertifikat kalibrasi Dosimeter Aktif dan Surveymeter Gamma serta perbaikan atau pengadaan Tabir mobile baru pada menu TLHI (Tindak Lanjut Hasil Inspeksi) BALIS INFARA (https://balis-infara.bapeten.go.id) sebagai bukti tindak lanjut hasil inspeksi.&lt;br&gt;</t>
  </si>
  <si>
    <t>Santosa Hospital Bandung Central Telah melakukan kalibrasi Alat Ukur Radiasi</t>
  </si>
  <si>
    <t>00121.01.08315.05.1.0526</t>
  </si>
  <si>
    <t>Kebersihan dan tata graha kurang memadai.</t>
  </si>
  <si>
    <t>-Pelaku Usaha agar melakukan perbaikan sarana yang ada di fasilitas sesuai dengan rekomendasi inspektur.&lt;br /&gt;
 &lt;br /&gt;
 Untuk menutup temuan, unggah bukti berupa foto perbaikan sarana yang ada di melalui menu TLHI (Tindak Lanjut Hasil Inspeksi) di Sistem Balis Infara (https://balis-infara.bapeten.go.id) sebagai bukti tindak lanjut hasil inspeksi.&lt;br&gt;-Pelaku Usaha agar melakukan kalibrasi surveimeter secara rutin sampai terbit Sertifikat Kalibrasinya.&lt;br /&gt;
 &lt;br /&gt;
 Untuk menutup temuan, unggah bukti berupa Sertifikat Kalibrasi Surveimeter Gamma dan Neutron terbaru melalui menu TLHI (Tindak Lanjut Hasil Inspeksi) di Sistem Balis Infara (https://balis-infara.bapeten.go.id) sebagai bukti tindak lanjut hasil inspeksi.&lt;br&gt;</t>
  </si>
  <si>
    <t>Kebersihan dan tata graha</t>
  </si>
  <si>
    <t>1. Lampu merah pada pintu akses petugas cathlab dalam kondisi mati.
 2. Lampu ruang operator/radiografer Radiodiagnostik umum dalam kondisi mati.
 3. Kebersihan dan tata graha kurang memadai, terutama di ruang CT Scan</t>
  </si>
  <si>
    <t>-Pelaku Usaha agar melakukan perbaikan peralatan dan sarana yang ada di fasilitas sesuai dengan rekomendasi inspektur.&lt;br /&gt;
 &lt;br /&gt;
 Untuk menutup temuan, unggah bukti berupa foto perbaikan peralatan dan sarana yang ada di melalui menu TLHI (Tindak Lanjut Hasil Inspeksi) di Sistem Balis Infara (https://balis-infara.bapeten.go.id) sebagai bukti tindak lanjut hasil inspeksi.&lt;br&gt;</t>
  </si>
  <si>
    <t>Lampu merah pada pintu akses petugas cathlab telah diperbaiki
 Lampu ruang operator/radiografer Radiodiagnostik umum telah diperbaiki
 Kebersihan dan tata graha kurang memadai, terutama di ruang CT Scan</t>
  </si>
  <si>
    <t>• Saklar lampu merah di luar, seharusnya di ruang operator.
 • Penempatan jendela intip yang tidak sesuai dengan kebutuhan awal.
 • Terdapat gap/ celah pintu yang menyebabkan kebocoran radiasi.
 • Penempatan TLD kontrol yang tidak sesuai/ salah tempat.</t>
  </si>
  <si>
    <t>-Pelaku Usaha agar memperbaiki ruangan x-ray dan sarana pelengkapnya agar memenuhi syarat keselamatan radiasi serta sisi ergonomis.&lt;br /&gt;
 &lt;br /&gt;
 Untuk menutup temuan, unggah bukti berupa foto perbaikan ruangan dan sarana melalui menu TLHI (Tindak Lanjut Hasil Inspeksi) di Sistem Balis Infara (https://balis-infara.bapeten.go.id) sebagai bukti tindak lanjut hasil inspeksi.&lt;br&gt;</t>
  </si>
  <si>
    <t>- Sertifikat uji kesesuaian SRP Merk Canon, Tipe: IME-100L, No.seri: W4C2082513 berakhir di tanggal 13 Januari 2025. Saat ini kondisi SRP tidak optimal karena hanya bisa digunakan untuk penyinaran ekstrimitas.
 - Pesawat X-ray hanya bisa digunakan untuk film ukuran kecil (24cmx30cm), sehingga penggunaan pesawat sangat terbatas. Hal ini mengurangi justifikasi penggunaan pesawat. 
 - Pelapis Pb belum diberi pelapis paper untuk mencegah orang tersetrum listrik.</t>
  </si>
  <si>
    <t>-Pelaku Usaha agar melakukan perbaikan alat dan melakukan uji kesesuaian untuk alat tersebut.&lt;br /&gt;
 &lt;br /&gt;
 Untuk menutup temuan, unggah dokumen berita acara perbaikan dan sertifikat uji kesesuaian terbaru melalui menu TLHI (Tindak Lanjut Hasil Inspeksi) di Sistem Balis Infara (https://balis-infara.bapeten.go.id) sebagai bukti tindak lanjut hasil inspeksi.&lt;br&gt;-Pelaku Usaha agar:&lt;br /&gt;
  • Segera memperbaiki perlengkapan CR sehingga penggunaan pesawat lebih terjustifikasi.&lt;br /&gt;
  • Memberi pelapis untuk seluruh bagian Pb (untuk bagian yang belum diberi pelapis) guna mencegah guna mencegah orang tersetrum listrik.&lt;br /&gt;
 &lt;br /&gt;
 Untuk menutup temuan, unggah bukti berupa foto perbaikan peralatan dan sarana yang ada di lokasi, melalui menu TLHI (Tindak Lanjut Hasil Inspeksi) di Sistem Balis Infara (https://balis-infara.bapeten.go.id) sebagai bukti tindak lanjut hasil inspeksi.&lt;br&gt;</t>
  </si>
  <si>
    <t>ukes pada alat canon sudah d kerjakan. dan LHU nya sudah keluaruntuk pelapisan pb pada ruangan sudah dalam pengerjaansurat rencana perbaikan CR</t>
  </si>
  <si>
    <t>Halliburton Logging Services Indonesia</t>
  </si>
  <si>
    <t>Cilandak Commercial Estate, Bld. 107, Jl. Raya Cilandak KKO</t>
  </si>
  <si>
    <t>Cilandak Commercial Estate, Bld. 107, Jl. Raya Cilandak KKO,Jakarta Selatan,DKI Jakarta</t>
  </si>
  <si>
    <t>00146.01.00029.07.1.0626</t>
  </si>
  <si>
    <t>Terdapat 1 unit CCTV yang memantau area belakang bunker yang rusak</t>
  </si>
  <si>
    <t>-Pelaku Usaha agar melakukan perbaikan terhadap CCTV yang rusak.&lt;br /&gt;
 &lt;br /&gt;
 Untuk menutup temuan, unggah bukti foto hasil perbaikan dan tangkapan layar dari CCTV yang memantau area belakang bunker melalui menu TLHI (Tindak Lanjut Hasil Inspeksi) di Sistem Balis Infara (https://balis-infara.bapeten.go.id) sebagai bukti tindak lanjut hasil inspeksi.&lt;br&gt;</t>
  </si>
  <si>
    <t>CCTV sudah diperbaiki dan menyala dengan baik. CCTV yang tidak menyala ketika inspeksi CCTV bagian belakang (dalam gambar paling kanan bagian bawah)</t>
  </si>
  <si>
    <t>- Terdapat 1 unit Pesawat Sinar-X Radiografi Mobile Merk. Philips (Practix 360), Tipe/No. Seri Tabung IAE X22/13P717, Kvp/mA 125 kV / 450 mA yang dalam kondisi rusak. Berdasarkan informasi di lapangan kerusakan ada pada tombol switch dan akan dilakukan perbaikan.
 - Terdapat 1 unit Pesawat Sinar-X Radiografi terpasang tetap Merk Wonsolution, Tipe/No. Seri Tabung WSR-40 PLUS/WN16K07001, kVp/mA 125 kV / 500 mA yang tidak digunakan oleh karena tidak dapat terkoneksi dengan sistem PACS.</t>
  </si>
  <si>
    <t>-Pelaku Usaha agar melakukan upaya perbaikan SRP yang dalam kondisi rusak atau tidak dapat digunakan.&lt;br /&gt;
 &lt;br /&gt;
 Untuk menutup temuan, unggah bukti upaya yang dilakukan melalui menu TLHI (Tindak Lanjut Hasil Inspeksi) di Sistem Balis Infara (https://balis-infara.bapeten.go.id) sebagai bukti tindak lanjut hasil inspeksi.&lt;br&gt;</t>
  </si>
  <si>
    <t>Telah dilakukan permohonan perbaikan Mobile Radiografi ke Instalasi IPSRS. 
 saat dinyalakan muncul indikator Tube Seasoning - menurut teknisi, perlu perbaikan intensif.</t>
  </si>
  <si>
    <t>Telah dilakukan penggantian lampu kolimasi pada pesawat Sinar-X Merk DR-GEM GXR 40 GAD16B1496 - 125 / 500 GXR 40 GAD16B1496, dan belum dilakukan uji kesesuaian ulang. Dari hasil pengamatan secara mata terhadap luas lapangan kolimasi dan ketegaklurusan menunjukkan adanya deviasi.</t>
  </si>
  <si>
    <t>Kami telah mengajukan untuk perbaikan kolimator, tetapi hasilnya harus ada penggatian part ( kolimator) . 
 Pengajuan untuk pembelian part (Kolimator) sudah kami pesan dan tinggal menunggu proses pergantian part tersebut dari vendor.</t>
  </si>
  <si>
    <t>Terdapat 1 kabel source yang masih berfungsi, namun perlu dilakukan perbaikan.</t>
  </si>
  <si>
    <t>-Pelaku Usaha agar melakukan perbaikan kabel.&lt;br /&gt;
 &lt;br /&gt;
 Untuk menutup temuan, unggah bukti tindak lanjut melalui menu TLHI (Tindak Lanjut Hasil Inspeksi) di Sistem Balis Infara (https://balis-infara.bapeten.go.id) sebagai bukti tindak lanjut hasil inspeksi.&lt;br&gt;-Pelaku Usaha agar melakukan kalibrasi peralatan yang telah habis masa berlaku kalibrasinya.&lt;br /&gt;
 &lt;br /&gt;
 Untuk menutup temuan, unggah bukti kalibrasi melalui menu TLHI (Tindak Lanjut Hasil Inspeksi) di Sistem Balis Infara (https://balis-infara.bapeten.go.id) sebagai bukti tindak lanjut hasil inspeksi.&lt;br&gt;</t>
  </si>
  <si>
    <t>Perbaikan kabel source</t>
  </si>
  <si>
    <t>Perawatan fasilitas khususnya kualitas air (level, pH, konduktivitas) dilakukan secara rutin. Namun sesuai dengan logbook perawatan, sejak Februari 2026 tidak dilakukan pemeriksaan kualitas air. Kualitas air kolam mengalami penurunan ditunjukkan dengan nilai pH air 4,13 dan konduktivitas air 62,2.</t>
  </si>
  <si>
    <t>-BRIN agar melakukan perawatan rutin terhadap fasilitas, khususnya menjaga kualitas air agar sesuai dengan persyaratan operasi.&lt;br /&gt;
 &lt;br /&gt;
 Untuk menutup temuan, unggah bukti pelaksanaan perawatan khususnya kualitas air pada fasilitas IGMP-BRIN melalui menu TLHI (Tindak Lanjut Hasil Inspeksi) di Sistem Balis Infara (https://balis-infara.bapeten.go.id) sebagai bukti tindak lanjut hasil inspeksi. &lt;br&gt;-BRIN agar segera melakukan kalibrasi ulang terhadap detektor radiasi tersebut.&lt;br /&gt;
 &lt;br /&gt;
 Untuk menutup temuan, unggah bukti sertifikat kalibrasi yang masih berlaku masa kalibrasinya untuk detektor radiasi pada posisi DRM#1 (irradiation room), DRM#2 (personal maze), DRM#3 (good maze), DRM#4 (personal door) melalui menu TLHI (Tindak Lanjut Hasil Inspeksi) di Sistem Balis Infara (https://balis-infara.bapeten.go.id) sebagai bukti tindak lanjut hasil inspeksi.&lt;br&gt;</t>
  </si>
  <si>
    <t>Bio Farma (Persero)</t>
  </si>
  <si>
    <t>Jl. Pasteur No. 28</t>
  </si>
  <si>
    <t>Jl. Pasteur No. 28,Bandung,Jawa Barat</t>
  </si>
  <si>
    <t>00167.01.08516.13.1.0726</t>
  </si>
  <si>
    <t>Terdapat 1 (satu) unit monitor area dalam kondisi rusak: Seri GMA12-2024-04-06 dan telah diganti dengan Seri GMA12-2024-04-08 tapi belum tercantum dalam KTUN Izin pemanfaatan.</t>
  </si>
  <si>
    <t>-Kode Temuan 2.05.03&lt;br /&gt;
 Pelaku usaha memutakhirkan data alat ukur radiasi dalam program proteksi radiasi.&lt;br /&gt;
 &lt;br /&gt;
 Saat pengajuan perubahan data personel atau perubahan data SRP atau perubahan lokasi pemanfaatan dapat melakukan pemutakhiran data alat ukur radiasi&lt;br /&gt;
 &lt;br /&gt;
 Program proteksi radiasi yang telah dimutakhirkan diunggah di Sistem Balis Infara (https://balis-infara.bapeten.go.id) pada menu TLHI (Tindak Lanjut Hasil Inspeksi) sebagai bukti tindak lanjut hasil inspeksi.&lt;br /&gt;
 &lt;br&gt;-Kode Temuan 2.05.04&lt;br /&gt;
 Pelaku Usaha agar menyelesaikan proses kalibrasi surveimeter.&lt;br /&gt;
 &lt;br /&gt;
 Pelaku usaha agar mengajukan kalibrasi monitor area apabila laboratorium kalibrasi sudah memiliki izin. &lt;br /&gt;
 &lt;br /&gt;
 Sertifikat kalibrasi surveimeter dan monitor area diunggah di Sistem Balis Infara (https://balis-infara.bapeten.go.id) pada menu TLHI (Tindak Lanjut Hasil Inspeksi) sebagai bukti tindak lanjut hasil inspeksi.&lt;br /&gt;
 &lt;br&gt;</t>
  </si>
  <si>
    <t>1. Kode Temuan 2.05.03 Lampiran Program Proteksi Radiasi yang Telah Dimutakhirkan2. Kode Temuan 2.05.04: 
 a. Lampiran Sertifikat Kalibrasi Surveymeter
 b. Lampiran Bukti Pengajuan Kalibrasi Monitoring Area Gamma In Situ</t>
  </si>
  <si>
    <t>Terdapat peralatan dan sarana keselamatan radiasi yang tidak berfungsi atau rusak, yaitu:
 1. Lampu merah indikator penyinaran dan pintu ruang radiologi (Ruang 1 dan Ruang 2 Instalasi Radiologi Gedung E1)
 2. 2 (dua) dosimeter aktif (pendose) dari 3 (tiga) unit dalam kondisi rusak.</t>
  </si>
  <si>
    <t>-Kode Temuan 2.05.03&lt;br /&gt;
 Pelaku Usaha memperbaiki atau mengganti peralatan dan sarana keselamatan radiasi yang tidak berfungsi.&lt;br /&gt;
 &lt;br /&gt;
 Foto perbaikan atau penggantian peralatan dan sarana keselamatan radiasi diunggah di Sistem Balis Infara (https://balis-infara.bapeten.go.id) melalui menu TLHI (Tindak Lanjut Hasil Inspeksi) sebagai bukti tindak lanjut hasil inspeksi.&lt;br /&gt;
 &lt;br&gt;</t>
  </si>
  <si>
    <t>Pintu Ruang penyinaran dan Lampu Indikator Peninaran sudah diperbaikiPengadaan Pocket Dosimeter 2 pcs
 Fuji Electric, Dose i-
 Nomor Seri : 199582 dan 199600</t>
  </si>
  <si>
    <t>Lampu “beam on” lepas</t>
  </si>
  <si>
    <t>Pada saat inspeksi ke ruangan trilogy 2, speaker intercom tidak berfungsi/rusak</t>
  </si>
  <si>
    <t>-Agar Pelaku Usaha memperbaiki speaker intercom.&lt;br /&gt;
 Untuk menutup temuan, pelaku usaha mengunggah foto sebagai Tindak Lanjut Hasil Inspeksi di Sistem Balis Infara (https://balis-infara.bapeten.go.id) sebagai bukti tindak lanjut hasil inspeksi&lt;br /&gt;
 &lt;br&gt;</t>
  </si>
  <si>
    <t>Alat surveymeter Monitor 200 tidak efektif untuk melakuan pengukuran paparan radiografi umum dan mobile karena memiliki respon time yang panjang (3 sekon). Harap memiliki alat ukur dengan respon time kurang dari 0.5 sekon.</t>
  </si>
  <si>
    <t>-Agar pelaku usaha menyediakan alat surveymeter dengan response time 0.5 second. &lt;br /&gt;
 &lt;br /&gt;
 Untuk menutup temuan, pelaku usaha mengunggah komitmen menyediakan surverymeter yang memadai sebagai Tindak Lanjut Hasil Inspeksi di Sistem Balis Infara (https:// balis infara.bapeten.go.id). &lt;br&gt;</t>
  </si>
  <si>
    <t>Terdapat 2 (dua) unit Pendose yang belum dilakukan kalibrasi (No. seri: 00280219 dan 01800819)</t>
  </si>
  <si>
    <t>-Pelaku Usaha agar melakukan kalibrasi 2 (dua) pendose sesuai arahan tim Inspeksi.&lt;br /&gt;
 &lt;br /&gt;
 Unggah sertifikat kalibrasi pendose melalui menu TLHI (Tindak Lanjut Hasil Inspeksi) di Sistem BALIS INFARA (https://balis-infara.bapeten.go.id) sebagai bukti tindak lanjut hasil inspeksi.&lt;br /&gt;
 &lt;br&gt;</t>
  </si>
  <si>
    <t>Terdapat lampu merah yang tidak menyala di atas pintu ruangan pemeriksaan CT Scan.</t>
  </si>
  <si>
    <t>-Pelaku Usaha agar memperbaiki lampu merah di atas pintu ruangan pemeriksaan CT Scan.&lt;br /&gt;
 Unggah foto perbaikan lampu merah tersebut melalui menu TLHI (Tindak Lanjut Hasil Inspeksi) di Sistem BALIS INFARA (https://balis-infara.bapeten.go.id) sebagai bukti tindak lanjut hasil inspeksi.&lt;br /&gt;
 &lt;br /&gt;
 &lt;br&gt;</t>
  </si>
  <si>
    <t>sudah dilakukan perbaikan lampu merah</t>
  </si>
  <si>
    <t>RS PKU Muhammadiyah Gamping</t>
  </si>
  <si>
    <t>Jl. Wates Km 5,5 RT. 005 RW. 025, Ambarketawang, Gamping</t>
  </si>
  <si>
    <t>Jl. Wates Km 5,5 RT. 005 RW. 025, Ambarketawang, Gamping,Sleman,Daerah Istimewa Yogyakarta</t>
  </si>
  <si>
    <t>00234.01.12983.05.1.0726</t>
  </si>
  <si>
    <t>• Belum melakukan kendali kualitas Pesawat CT-Simulator dan LINAC tahunan secara lengkap;
 - Uji CT Simulator secara lengkap meliputi: image quality, lasermeter eksternal dan internal sesuai standar AAPM TG-233);
 - Uji LINAC secara lengkap sesuai standar manufacture secara lengkap mengacu pada AAPM TG-142.
 Ukuran ruangan CT Scan: 5,4m x 7,6m x 3,4m</t>
  </si>
  <si>
    <t>-Pelaku Usaha agar melakukan uji pesawat CT-Simulator dan LINAC secara lengkap per tahun, melalui kontrak service dengan pihak manufacture.&lt;br /&gt;
 &lt;br /&gt;
 Unggah Bukti komitmen manajemen untuk melakukan kontrak service dengan pihak manufacture melalui menu TLHI (Tindak Lanjut Hasil Inspeksi) di Sistem BALIS INFARA (https://balis-infara.bapeten.go.id) sebagai bukti tindak lanjut hasil inspeksi.&lt;br /&gt;
 &lt;br /&gt;
 &lt;br&gt;</t>
  </si>
  <si>
    <t>Surat Pernyataan Pemeliharaan Berkala Alat CT Simulator &amp; LINAC</t>
  </si>
  <si>
    <t>Peralatan keselamatan dan keamanan
 1. Kunci kamera tidak berfungsi dengan baik (anak kunci patah didalam)
 2. Long tang tidak berfungsi dengan baik
 3. Sudut pandang cctv kurang luas dan mengarah ke lokasi penyimpanan zat radioaktif</t>
  </si>
  <si>
    <t>-Memperbaiki peralatan keselamatan dan keamanan zat radioaktif agar dapat berfungsi dengan optimal.&lt;br /&gt;
 &lt;br /&gt;
 Untuk menutup temuan, unggah perbaikan peralatan keselamatan dan keamanan zat radioaktif melalui menu TLHI pada sistem Balis Infara 2.0 https://balis-infara.bapeten.go.id/ sebagai bukti tindak lanjut hasil inspeksi.&lt;br /&gt;
 &lt;br&gt;</t>
  </si>
  <si>
    <t>Perlu melakukan perbaikan terhadap crane cable dengan menambahkan selongsong pelindung crank cable.</t>
  </si>
  <si>
    <t>-Pelaku Usaha agar memastikan bahwa peralatan yang dimiliki dalam kondisi baik dan sesuai ketentuan dalam peraturan&lt;br /&gt;
 &lt;br /&gt;
 Untuk menutup temuan, unggah bukti tindak lanjut foto sebelum dan sesudah dilakukan perbaikan untuk setiap peralatan, melalui menu TLHI (Tindak Lanjut Hasil Inspeksi) di Sistem Balis Infara (https ://balis-infara. bapeten. go.id) sebagai bukti tindak lanjut hasil inspeksi.&lt;br&gt;</t>
  </si>
  <si>
    <t>Terkait penambahan selongsong crank cable sudah kami tambahkan berikut kami lampirkan foto Crank Cable yang sudah kami tambahkan selongsong.</t>
  </si>
  <si>
    <t>Tirai pelindung pada peralatan flurosokopi kargo (RAPISCAN, tipe: 632DV) yang berada di area terminal kargo (dikelola oleh PT Integrasi Aviasi Solusi) kondisinya rusak sehingga paparan radiasi di area loading barang melebihi background (0,29-0,57 µSv).</t>
  </si>
  <si>
    <t>-Pelaku Usaha agar melakukan perbaikan tirai pelindung pada peralatan flurosokopi bagasi yang berada di area kargo dan dan melakukan pengukuran paparan radiasi setelah perbaikan guna memastikan tingkat paparan radiasi di daerah operator, area loading, dan area publik tetap memenuhi batasan dosis yang berlaku&lt;br /&gt;
 &lt;br /&gt;
 Untuk menutup temuan, unggah bukti tindak lanjut berupa foto perbaikan tirai pelindung dan hasil pengukuran paparan setelah perbaikan melalui menu TLHI (Tindak Lanjut Hasil Inspeksi) di Sistem Balis Infara https:// balis-infara.bapeten.go.id sebagai bukti tindak lanjut hasil inspeksi.&lt;br&gt;</t>
  </si>
  <si>
    <t>Temuan sebelumnya Karena posisi operator berdiri dibalik pintu ruang radiologi , agar pintu ruang radiologi tersebut dilengkapi dengan Kaca intip Pb.
 Untuk menutup temuan upload melalui balis infara foto pintu yang sudah dilengkapi dengan kaca intip. Tindak lanjut dipasang CCTV dan saat ini CCTV dalam kondisi rusak</t>
  </si>
  <si>
    <t>-Pelaku usaha agar melakukan perbaikan CCTV. &lt;br /&gt;
  &lt;br /&gt;
 Untuk menutup temuan unggah foto perbaikan dan kondisi monitor CCTV setelah dilakukan perbaikan melalui menu TLHI (Tindak Lanjut Hasil Inspeksi) di Sistem Balis Infara (https://balis-infara.bapeten.go.id) sebagai bukti tindak lanjut hasil inspeksi.&lt;br&gt;</t>
  </si>
  <si>
    <t>CCTV telah dilakukan perbaikan dan saat ini telah berfungsi normal kembali</t>
  </si>
  <si>
    <t>Tidak dapat menunjukkan masa retensi rekaman television (CCTV).</t>
  </si>
  <si>
    <t>-Pelaku usaha agar menyediakan Circuit television (CCTV) dengan masa retensi rekaman tersimpan minimal 30 (tiga puluh) hari.&lt;br /&gt;
 &lt;br /&gt;
 Untuk menutup temuan unggah tangkapan layar kalender masa retensi rekaman di monitor CCTV melalui menu TLHI (Tindak Lanjut Hasil Inspeksi) di Sistem Balis Infara (https://balis-infara.bapeten.go.id) sebagai bukti tindak lanjut hasil inspeksi.&lt;br&gt;</t>
  </si>
  <si>
    <t>Surveymeter kontaminasi, neutron dan dose kalibrator, belum dilakukan kalibrasi.</t>
  </si>
  <si>
    <t>-Pelaku usaha agar membuat surat komitmen akan melakukan kalibrasi surveymeter.&lt;br /&gt;
 &lt;br /&gt;
 Untuk menutup temuan unggah surat komitmen tersebut, melalui menu TLHI (Tindak Lanjut Hasil Inspeksi) di Sistem Balis Infara (https://balis-infara.bapeten.go.id) sebagai bukti tindak lanjut hasil inspeksi.&lt;br&gt;</t>
  </si>
  <si>
    <t>Sudah dilakukan pembuatan surat komitmen pelaksanaan Kalibrasi Alat Ukur Radiasi</t>
  </si>
  <si>
    <t>02.05.04</t>
  </si>
  <si>
    <t>Sertifikat kalibrasi peralatan (surveymeter, pendose, output dll) habis masa berlaku</t>
  </si>
  <si>
    <t>Sertifikasi kalibrasi peralatan dibawah ini telah berakhir : 
 a. Dosimeter saku Merk MGP, Tipe DMC3000, No. seri 01A0488D
 b. Dosimeter saku Merk MGP, Tipe DMC3000, No. seri 01A03EFC
 c. Surveimeter SEI Tipe Inspector, No Seri 47992
 d. Monitor area Ludlum 375, No. seri 345987</t>
  </si>
  <si>
    <t>Menindaklanjuti rekomendasi agar BLU RSUP Prof. Dr. R.D. Kandou Manado melakukan kalibrasi dosimeter saku dan monitor area di ruangan Brakhiterapi, bersama ini kami sampaikan hal-hal sebagai berikut: 
 1. Kalibrasi dosimeter saku telah dilaksanakan sesuai ketentuan yang berlaku. Bukti sertifikat kalibrasi dosimeter saku terlampir sebagai dokumen pendukung tindak lanjut. 
 2. Untuk monitor area di ruangan Brakhiterapi, kalibrasi belum dapat dilaksanakan karena hingga saat ini belum tersedia laboratorium kalibrasi yang dapat memberikan layanan tersebut. Laboratorium kalibrasi BRIN yang sebelumnya menjadi rujukan masih dalam proses pemindahan fasilitas laboratorium, dan pada saat ini belum memperoleh izin dari BAPETEN untuk melaksanakan kegiatan kalibrasi monitor area dimaksud.</t>
  </si>
  <si>
    <t>Sertifikat kalibrasi surveymeter gamma, tipe: BR-9B, no. seri: 20221210.1 berlaku sd 19 Februari 2025</t>
  </si>
  <si>
    <t>Bukti Lampu Merah saat penggunaan X-Ray dan Kalibrasi SurveymeterBukti Lampu Merah saat Penggunaan X-Ray dan Kalibrasi Surveymeter</t>
  </si>
  <si>
    <t>Sertifikat Kalibrasi Surveimeter Gamma dan Neutron berakhir pada 11 Maret 2026 dan sedang dalam proses diajukan untuk kalibrasi.</t>
  </si>
  <si>
    <t>Sertifikat Kalibrasi Surveymeter dan Pendose masih proses pembayaran sehingga belum menerima sertifkat kalibrasinya</t>
  </si>
  <si>
    <t>Terdapat sertifikat kalibrasi peralatan yang telah habis masa berlaku 
 a. Surveymeter
 1. Merk ND 2002A No. Seri 100154, MB 25 April 2026 di PKU
 2. Merk Ranger No. Seri R312639, MB 30 Maret di OKI Palembang
 b. Dosimeter saku
 1. Merk Arrow tech/W138 No. Seri NH 288729, MB15 Mei 2026, OKI Palembang
 2. Merk Arrow tech/W138 No. Seri PB 307884, MB 15 Mei 2026, OKI Palembang
 3. Merk Arrow tech/W138 No. Seri NH 288729, MB 15 Mei 2026, OKI Palembang
 4. Merk Arrow tech/W138 No. Seri PC 308527, MB 2 Sept 2025, OKI Palembang
 5. Merk Arrow tech/W138 No. Seri NH 288712, MB 1 Des 2025 On Call
 6. Merk Arrow tech/W138 No. Seri SH 343687, MB 13 Maret 2026 Head office
 7. Merk Arrow tech/W138 No. Seri RC 327611, MB 13 Maret 2026 Head office
 8. Merk Arrow tech/W138 No. Seri SH 188308, MB 13 Maret 2026 Head office
 9. Merk Arrow tech/W138 No. Seri PB 307883, MB 20 Mei 2026 Head office
 10. Merk Arrow tech/W138 No. Seri SH 343689, MB 20 Mei 2026 On Call</t>
  </si>
  <si>
    <t>Perbaikan dan kalibrasi alat</t>
  </si>
  <si>
    <t>Surveymeter radiasi pada posisi DRM#1 (irradiation room), DRM#2 (personal maze), DRM#3 (good maze), DRM#4 (personal door) masa kalibrasi sudah berakhir tanggal 13 Agustus 2025.</t>
  </si>
  <si>
    <t>Sertifikat kalibrasi terbaru belum diterima oleh Pelaku Usaha. Fisik surveymeter yang terkalibrasi sudah diterima Pelaku Usaha.
 Kalibrasi surveymeter dilakukan bersamaan untuk seluruh surveymeter yang dimiliki, sehingga pada saat surveymeter dikalibrasi, di lapangan tidak ada surveymeter .</t>
  </si>
  <si>
    <t>-Pelaku usaha agar mengatur waktu pelaksanaan kalibrasi surveymeter sehingga tidak ada kekosongan surveymeter di lapangan.&lt;br /&gt;
 &lt;br /&gt;
 Untuk menutup temuan, unggah surat komitmen manajemen berkenaan dengan kalibrasi surveymeter tidak dilakukan bersamaan untuk seluruh surveymeter yang dimiliki melalui menu TLHI (Tindak Lanjut Hasil Inspeksi) di Sistem Balis Infara (https://balis-infara.bapeten.go.id) sebagai bukti tindak lanjut hasil inspeksi.&lt;br /&gt;
 &lt;br&gt;</t>
  </si>
  <si>
    <t>Sertifikat Surveymeter &amp; Surat Komitmen untuk kalibrasi secara bergantian</t>
  </si>
  <si>
    <t>Agri Wangi Indonesia</t>
  </si>
  <si>
    <t>Jl. Elang Sanja RT. 005 RW. 004, Desa/Kelurahan Sanja, Kec. Citeureup</t>
  </si>
  <si>
    <t>Jl. Elang Sanja RT. 005 RW. 004, Desa/Kelurahan Sanja, Kec. Citeureup,Bogor,Jawa Barat</t>
  </si>
  <si>
    <t>00166.01.16059.12.1.0726</t>
  </si>
  <si>
    <t>Terdapat 1 (satu) unit surveimeter dengan merk Ranger, nomor seri 319875, yang telah habis masa berlaku sertifikat kalibrasinya pada 20 juni 2026 dan sedang dalam proses kalibrasi.
 Terdapat 1 (satu) unit dosimeter saku dengan merk Fuji electric, nomor seri 197974 yang telah habis masa berlaku sertifikat kalibrasinya pada 19 juni 2026 dan sedang dalam proses kalibrasi.
 Terdapat 2 (dua) unit surveymeter dengan merk Ranger, nomor seri R322002 dan R322174 belum tercantum dalam KTUN izin pemanfaatan.
 Terdapat 1 (satu) unit dosimeter saku dengan merk Intechepd, nomor seri M2505077 belum tercantum dalam KTUN izin pemanfaatan.</t>
  </si>
  <si>
    <t>-Kode Temuan 2.05.04&lt;br /&gt;
 Pelaku usaha agar mengunggah sertifikat kalibrasi surveimeter dan dosimeter saku di Sistem Balis Infara (https://balis-infara.bapeten.go.id) pada menu TLHI (Tindak Lanjut Hasil Inspeksi) sebagai bukti tindak lanjut hasil inspeksi.&lt;br /&gt;
 &lt;br /&gt;
 Pelaku usaha memutakhirkan data alat ukur radiasi (surveymeter dan dosimeter saku) dalam program proteksi dan keselamatan radiasi.&lt;br /&gt;
 &lt;br /&gt;
 Saat pengajuan perubahan data personel atau perubahan data SRP dalam izin pemanfaatan, Pelaku Usaha agar melakukan pemutakhiran data alat ukur radiasi (surveymeter dan dosimeter saku).&lt;br /&gt;
 &lt;br /&gt;
 Program proteksi dan keselamatan radiasi yang telah dimutakhirkan diunggah di Sistem Balis Infara (https://balis-infara.bapeten.go.id) pada menu TLHI (Tindak Lanjut Hasil Inspeksi) sebagai bukti tindak lanjut hasil inspeksi.&lt;br&gt;</t>
  </si>
  <si>
    <t>Telah dilakukan pemutakhiran Program Proteksi dan Keselamatan Radiasi (PPKR) dengan mencantumkan seluruh alat ukur radiasi yang digunakan, termasuk:
 1. Surveimeter merk Ranger, No. Seri 319875;
 2. Dosimeter saku merk Fuji Electric, No. Seri 197974;
 3. Surveimeter merk Ranger, No. Seri R322002;
 4. Surveimeter merk Ranger, No. Seri R322174; dan
 5. Dosimeter saku merk Intechepd, No. Seri M2505077.
 Untuk alat ukur yang masa berlaku sertifikat kalibrasinya telah berakhir, yaitu surveimeter Ranger No. Seri 319875 dan dosimeter saku Fuji Electric No. Seri 197974, telah dilakukan proses kalibrasi dan sertifikat hasil kalibrasi telah diunggah/submit melalui Sistem Balis Infara sebagai bukti tindak lanjut.
 Terkait alat ukur radiasi yang belum tercantum dalam KTUN Izin Pemanfaatan, yaitu surveimeter Ranger No. Seri R322002 dan R322174 serta dosimeter saku Intechepd No. Seri M2505077, telah dilakukan upaya pemutakhiran data alat ukur pada sistem perizinan. Namun, berdasarkan mekanisme</t>
  </si>
  <si>
    <t>Terdapat 2 (dua) surveimeter yang sedang dalam proses kalibrasi, yaitu 
 surveimeter kontaminasi seri 367650 &amp; PR424218 dan surveimeter neutron seri 369277 &amp; PR423762
 Terdapat 4 (empat) unit monitor area yang telah habis masa berlakunya dan belum dapat dilakukan kalibrasi insitu karena laboratorium kalibrasi sedang dalam proses pengajuan izin ke BAPETEN, yaitu: Seri GMA12-2024-04-03, GMA12-2024-04-04, GMA12-2024-04-05 dan GMA12-2024-04-01</t>
  </si>
  <si>
    <t>1. Kode Temuan 2.05.03 Lampiran Program Proteksi Radiasi yang Telah Dimutakhirkan2. Kode Temuan 2.05.04: a. Lampiran Sertifikat Kalibrasi Surveymeter b. Lampiran Bukti Pengajuan Kalibrasi Monitoring Area Gamma In Situ</t>
  </si>
  <si>
    <t>Mirota KSM</t>
  </si>
  <si>
    <t>Jl. Raya Yogya-Solo Km.9, Sambilegi, Maguwoharjo, Depok</t>
  </si>
  <si>
    <t>Jl. Raya Yogya-Solo Km.9, Sambilegi, Maguwoharjo, Depok,Sleman,Daerah Istimewa Yogyakarta</t>
  </si>
  <si>
    <t>00235.01.08811.12.1.0726</t>
  </si>
  <si>
    <t>Sertifikat kalibrasi Surveymeter SE Internasional No. seri: R306845 telah habis masa berlakunya tanggal 24 Juni 2026.</t>
  </si>
  <si>
    <t>-Pelaku Usaha agar segera melakukan kalibrasi surveymeter merk SE Internasional No. seri: R306845 &lt;br /&gt;
 &lt;br /&gt;
 Unggah sertifikat kalibrasi surveymeter merk SE Internasional No. seri: R306845 yang berlaku melalui menu TLHI (Tindak Lanjut Hasil Inspeksi) di Sistem BALIS INFARA (https://balis-infara.bapeten.go.id) sebagai bukti tindak lanjut hasil inspeksi.&lt;br /&gt;
 &lt;br&gt;</t>
  </si>
  <si>
    <t>Telah dilakukan kalibrasi surveymeter SE International Ranger Sn.R 306845
 dengan masa berlaku sampai 7 Agustus 2027</t>
  </si>
  <si>
    <t>Terdapat 4 (empat) Sertifikat alat ukur radiasi yang telah berakhir yaitu:
 • 1 (satu) unit Surveimeter Gamma (No. seri: 05126) berakhir September 2025 dan; 
 • 3 (tiga) unit Dosimeter saku gamma No. seri: IL 205755, JA 207420, 09334) berakhir Oktober 2025.</t>
  </si>
  <si>
    <t>-Pihak Instansi agar segera melakukan kalibrasi alat ukur radiasi yaitu:&lt;br /&gt;
 a. 1 (satu) unit Surveimeter Gamma (No. seri: 05126) &lt;br /&gt;
 b. 3 (tiga) unit Dosimeter saku gamma (No. seri: IL 205755, JA 207420, 09334) &lt;br /&gt;
 &lt;br /&gt;
 Unggah Sertifikat Kalibrasi Alat Ukur Radiasi tersebut melalui menu TLHI (Tindak Lanjut Hasil Inspeksi) di Sistem BALIS INFARA (https://balis-infara.bapeten.go.id) sebagai bukti tindak lanjut hasil inspeksi.&lt;br /&gt;
 &lt;br /&gt;
 &lt;br&gt;</t>
  </si>
  <si>
    <t>Surveymeter sedang dikalibrasi</t>
  </si>
  <si>
    <t>-Memastikan surveymeter telah terkalibrasi.&lt;br /&gt;
 &lt;br /&gt;
 Untuk menutup temuan, unggah sertifikat kalibrasi surveymeter terbaru melalui menu TLHI pada sistem Balis Infara 2.0 https://balis-infara.bapeten.go.id/ sebagai bukti tindak lanjut hasil inspeksi.&lt;br /&gt;
 &lt;br&gt;</t>
  </si>
  <si>
    <t>SURVEYMETER sudah dikalibrasi oleh Nuklindolab</t>
  </si>
  <si>
    <t>RSUP. Persahabatan</t>
  </si>
  <si>
    <t>RSUP PERSAHABATAN(INSTALASI RADIOLOGI) Jl. Persahabatan Raya No. 1JAKARTA TIMUR 13230Telp : (021) 4891708, Ext : 103</t>
  </si>
  <si>
    <t>RSUP PERSAHABATAN(INSTALASI RADIOLOGI) Jl. Persahabatan Raya No. 1JAKARTA TIMUR 13230Telp : (021) 4891708, Ext : 103,Jakarta Timur,DKI Jakarta</t>
  </si>
  <si>
    <t>00194.01.02452.05.1.0726</t>
  </si>
  <si>
    <t>Terdapat satu unit Area Monitor GRAETZ WS05C yang terpasang di ruang Brakhiterapi belum dikalibrasi sejak tahun 2023</t>
  </si>
  <si>
    <t>-Pelaku Usaha agar melakukan kalibrasi alat ukur tersebut.&lt;br /&gt;
 &lt;br /&gt;
 Untuk menutup temuan tersebut, unggah bukti pengajuan kalibrasi alat ukur tersebut melalui menu TLHI (Tindak Lanjut Hasil Inspeksi) di Sistem Balis Infara (https://balis-infara.bapeten.go.id) sebagai bukti tindak lanjut hasil inspeksi.&lt;br&gt;</t>
  </si>
  <si>
    <t>Sertifikat kalibrasi alat ukur radiasi:
 - Surveymeter Gamma, merk Inspector USB, SN 41082, telah habis masa sejak 4 Oktober 2023. 
 - Dosimeter Saku Gamma, merk Dose-i, SN 194071, telah habis masa sejak 26 Januari 2024.</t>
  </si>
  <si>
    <t>-Pelaku Usaha agar melakukan kalibrasi ulang terhadap alat ukur yang dimaksud.&lt;br /&gt;
 &lt;br /&gt;
 Untuk menutup temuan tersebut, unggah bukti berupa surat permohonan pengajuan kalibrasi melalui menu TLHI (Tindak Lanjut Hasil Inspeksi) di Sistem Balis Infara (https://balis-infara.bapeten.go.id) sebagai bukti tindak lanjut hasil inspeksi.&lt;br&gt;</t>
  </si>
  <si>
    <t>Surveymeter dan dosimeter sudah di kalibrasi tahun 2026 dengan certificate terlampir</t>
  </si>
  <si>
    <t>Sertifikat kalibrasi surveymeyet No. 44150/LT/KAUR/06/2022 masa berlaku 27 Juni 2024.
 Dilakukan kalibrasi di BPFK-Jakarta tgl. 29 Februari 2026, tetapi hasil di luar rentang. 
 Akan dilakukan kalibrasi ulang ke BRIN</t>
  </si>
  <si>
    <t>-Pelaku Usaha agar menyediakan surveymeter yang memiliki Faktor Kalibrasi sesuai ketentuan.&lt;br /&gt;
 &lt;br /&gt;
 Untuk menutup temuan unggah Sertifikat Kalibrasi surveymeter yang memiliki Faktor Kalibrasi sesuai ketentuan pada menu TLHI (Tindak Lanjut Hasil Inspeksi) BALIS INFARA (https://balis-infara.bapeten.go.id) sebagai bukti tindak lanjut hasil inspeksi.&lt;br&gt;</t>
  </si>
  <si>
    <t>Surveymeter milik PT Trans Dana Profitri dengan merk Ranger SN: R 314640 sudah dilakukan kalibrasi di BRIN dengan hasil baik dengan no kalibrasi 304415 / LTR / LDSS / 09 / 2026 tanggal 09 September 2026.</t>
  </si>
  <si>
    <t>Sentra Medika Sejahtera</t>
  </si>
  <si>
    <t>Jl. Raya Bogor Km. 33, Cisalak</t>
  </si>
  <si>
    <t>Jl. Raya Bogor Km. 33, Cisalak,Depok,Jawa Barat</t>
  </si>
  <si>
    <t>00173.01.07320.01.1.0726</t>
  </si>
  <si>
    <t>02.06.01</t>
  </si>
  <si>
    <t>Tidak melakukan pemantauan paparan radiasi</t>
  </si>
  <si>
    <t>Pada form hasil pengukuran paparan radiasi tidak terdapat data:
 • Faktor kalibrasi
 • Jarak pengukuran
 • Nilai cacah latar</t>
  </si>
  <si>
    <t>-Kode Temuan 2.06.03&lt;br /&gt;
 Pelaku usaha agar melakukan evaluasi terhadap proses optimisasi penggunaan parameter penyinaran panoramik. &lt;br /&gt;
 Hasil evaluasi terhadap proses optimisasi penggunaan parameter penyinaran panoramik diunggah di Sistem Balis Infara (https://balis-infara.bapeten.go.id) melalui menu TLHI (Tindak Lanjut Hasil Inspeksi) sebagai bukti tindak lanjut hasil inspeksi.&lt;br /&gt;
 &lt;br&gt;-Kode Temuan 2.06.01&lt;br /&gt;
 Pelaku usaha agar mencantumkan data pengukuran meliputi faktor kalibrasi, jarak pengukuran, nilai cacah latar pada dokumen hasil pengukuran pemantauan paparan radiasi.&lt;br /&gt;
 &lt;br /&gt;
 Form hasil pengukuran paparan radiasi yang sudah diperbaiki diunggah di Sistem Balis Infara (https://balis-infara.bapeten.go.id) pada menu TLHI (Tindak Lanjut Hasil Inspeksi) sebagai bukti tindak lanjut hasil inspeksi.&lt;br /&gt;
 &lt;br /&gt;
 &lt;br&gt;</t>
  </si>
  <si>
    <t>HASIL UJI PAPARAN R. KONVENSIONALHASIL UJI PAPARAN CT SCANHASIL UJI PAPARAN R. DENTAL DAN PANORAMIKHASIL UJI PAPARAN R. MAMOGRAPHY</t>
  </si>
  <si>
    <t>1. Pemantauan paparan internal belum dilakukan (urin atau darah).
 2. Pemantauan radioaktivitas di lingkungan belum dilaksanakan (air dan udara).</t>
  </si>
  <si>
    <t>-Agar Pelaku Usaha melakukan pemantauan radioaktivitas di lingkungan (air dan udara).&lt;br /&gt;
 &lt;br /&gt;
 Untuk menutup temuan, pelaku usaha mengunggah komitmen untuk melakukan pemantauan lingkungan sebagai Tindak Lanjut Hasil Inspeksi &lt;br&gt;-Agar Pelaku Usaha melakukan pemantauan paparan internal terhadap pekerja radiasi yang berpotensi terkena kontaminasi.&lt;br /&gt;
 &lt;br /&gt;
 Untuk menutup temuan, pelaku usaha mengunggah komitmen untuk melakukan paparan radiasi internal sebagai Tindak Lanjut Hasil Inspeksi &lt;br&gt;</t>
  </si>
  <si>
    <t>Fisikawan Medis belum melakukan Kendali Kualitas rutin untuk peralatan pesawat Sinar-X Radiologi Intervensional GE Optima IGS 320 pada ruang Cathlab.</t>
  </si>
  <si>
    <t>-Agar RSUD Dr. Achmad Mochtar Bukittinggi melakukan kendali kualitas internal terhadap Pesawat Sinar-X secara rutin.&lt;br /&gt;
 Untuk menutup temuan, unggah dokumentasi dan rekaman pelaksanaan kendali kualitas pada pesawat Sinar-X Radiologi Intervensional GE Optima IGS 320 pada ruang Cathlab dan diunggah pada menu TLHI (Tindak Lanjut Hasil Inspeksi) Balis Infara (https://balis-infara.bapeten.go.id) sebagai bukti tindak lanjut hasil inspeksi&lt;br /&gt;
 &lt;br&gt;</t>
  </si>
  <si>
    <t>dokumentasi dan rekaman pelaksanaan kendali kualitas pada pesawat Sinar-X Radiologi Intervensional GE Optima IGS 320 pada ruang CathlabDokumentasi dan rekaman pelaksanaan kendali kualitas pada pesawat Sinar-X Radiologi Intervensional GE Optima IGS 320 pada ruang Cathlab</t>
  </si>
  <si>
    <t>RSUP Dr. M. Djamil Padang belum melakukan pemantauan paparan radiasi daerah kerja secara rutin.</t>
  </si>
  <si>
    <t>-Agar Rumah Sakit RSUP Dr. M. Djamil Padang membuat surat komitmen untuk melakukan pemantauan paparan pada daerah kerja dan sekitar ruangan penyinaran secara rutin dan membuat laporan pelaksanaan pemantauan paparan rutin.&lt;br /&gt;
 &lt;br /&gt;
 Unggah Surat Komitmen tersebut pada menu TLHI (Tindak Lanjut Hasil Inspeksi) Balis Infara (https://balis-infara.bapeten.go.id) sebagai bukti tindak lanjut hasil inspeksi&lt;br&gt;</t>
  </si>
  <si>
    <t>Belum melakukan pemantauan paparan di daerah sekitar serta melakukan dokumentasi pemantauan paparan.</t>
  </si>
  <si>
    <t>-Pelaku Usaha agar melakukan pemantauan papurran serta mendokumentasikan hasil pemantauan paparan dalam bentuk logbook pemantauan paparan.&lt;br /&gt;
 &lt;br /&gt;
 Untuk menutup temuan, unggah bukti tindak lanjut berupa logbook pemantauan paparan melalui menu TLHI (Tindak Lanjut Hasil Inspeksi) di Sistem Balis Infara (https:/ / balis-infara. bapeten.go.id) sebagai bukti tindak lanjut hasil inspeksi.&lt;br&gt;</t>
  </si>
  <si>
    <t>Sudah Tercatat di logbook pemantauan paparan radiasi mengunakan survey meter</t>
  </si>
  <si>
    <t>02.06.02</t>
  </si>
  <si>
    <t>Tidak rutin melakukan pemantauan paparan radiasi</t>
  </si>
  <si>
    <t>BRS. Bhayangkara Tk.III Manado belum melakukan pemantauan paparan radiasi daerah kerja secara rutin.</t>
  </si>
  <si>
    <t>-Agar RS. Bhayangkara Tk.III Manado membuat surat komitmen untuk melakukan pemantauan paparan pada daerah kerja dan sekitar ruangan penyinaran secara rutin dan membuat laporan pelaksanaan pemantauan paparan rutin&lt;br /&gt;
 Unggah Surat Komitmen tersebut pada menu TLHI (Tindak Lanjut Hasil Inspeksi) BALIS INFARA (https://balis-infara.bapeten.go.id) sebagai bukti tindak lanjut hasil inspeksi&lt;br /&gt;
 &lt;br&gt;</t>
  </si>
  <si>
    <t>RSUD ODSK Provinsi Sulawesi Utara belum melakukan pemantauan paparan radiasi daerah kerja secara rutin.</t>
  </si>
  <si>
    <t>-Agar RSUD ODSK Provinsi Sulawesi Utara membuat surat komitmen untuk melakukan pemantauan paparan pada daerah kerja dan sekitar ruangan penyinaran secara rutin dan membuat laporan pelaksanaan pemantauan paparan rutin&lt;br /&gt;
 &lt;br /&gt;
 Unggah Surat Komitmen tersebut pada menu TLHI (Tindak Lanjut Hasil Inspeksi) Balis Infara (https://balis-infara.bapeten.go.id) sebagai bukti tindak lanjut hasil inspeksi.&lt;br /&gt;
 &lt;br&gt;</t>
  </si>
  <si>
    <t>BLU RSUP. Prof. Dr. R.D. Kandou Manado belum melakukan pemantauan paparan radiasi daerah kerja secara rutin khususnya pemantauan mengunakan surveymeter neutron</t>
  </si>
  <si>
    <t>-BLU RSUP. Prof. Dr. R.D. Kandou Manado&lt;br /&gt;
 untuk memasang perimeter bahaya radiasi sehingga tidak ada pasien, anggota masyarakat atau pekerja radiasi yang berdiri di depan pintu bunker LINAC Clinac CX&lt;br /&gt;
 &lt;br /&gt;
 Unggah bukti pemasangan perimeter tersebut pada menu TLHI (Tindak Lanjut Hasil Inspeksi) BALIS INFARA (https://balis-infara.bapeten.go.id) sebagai bukti tindak lanjut hasil inspeksi.&lt;br /&gt;
 &lt;br&gt;-BLU RSUP Prof. Dr. R.D Kandou Manado agar menyiapkan Laporan Pemantauan Daerah kerja baik menggunakan surveymeter gamma maupun neutron.&lt;br /&gt;
 Unggah Laporan Pemantauan Daerah Kerja dalam bentuk digital tersebut pada menu TLHI (Tindak Lanjut Hasil Inspeksi) BALIS INFARA (https://balis-infara.bapeten.go.id) sebagai bukti tindak lanjut hasil inspeksi.&lt;br&gt;</t>
  </si>
  <si>
    <t>proses digitalisasi form paparan radiasi dan qa/qc sedang berlangsung.</t>
  </si>
  <si>
    <t>Tidak rutin melakukan pengukuran paparan radiasi di site.</t>
  </si>
  <si>
    <t>-Pelaku Usaha agar melakukan pengukuran paparan radiasi di site.&lt;br /&gt;
 &lt;br /&gt;
 Untuk menutup temuan, unggah bukti tindak lanjut melalui menu TLHI (Tindak Lanjut Hasil Inspeksi) di Sistem Balis Infara (https://balis-infara.bapeten.go.id) sebagai bukti tindak lanjut hasil inspeksi.&lt;br&gt;</t>
  </si>
  <si>
    <t>Bukti pemantauan pengukuran paparan radiasi di site</t>
  </si>
  <si>
    <t>Pengukuran paparan radiasi dilakukan oleh PPR rutin 3 (tiga) bulan sekali</t>
  </si>
  <si>
    <t>-Pelaku Usaha agar melakukan pengukuran paparan radiasi secara rutin 1 (satu) bulan sekali.&lt;br /&gt;
 &lt;br /&gt;
 Untuk menutup temuan, unggah bukti rekaman pengukuran paparan radiasi, melalui menu TLHI (Tindak Lanjut Hasil Inspeksi) di Sistem Balis Infara (https://balis-infara.bapeten.go.id) sebagai bukti tindak lanjut hasil inspeksi.&lt;br /&gt;
 &lt;br&gt;</t>
  </si>
  <si>
    <t>Form Pemantauan Paparan Radiasi</t>
  </si>
  <si>
    <t>Pemantauan radioaktivitas di lingkungan belum dilaksanakan (air dan udara)</t>
  </si>
  <si>
    <t>-Agar Pelaku Usaha melakukan pemantauan radioaktivitas di lingkungan (air dan udara).&lt;br /&gt;
 &lt;br /&gt;
 Untuk menutup temuan, pelaku usaha mengunggah komitmen untuk melakukan pemantauan lingkungan sebagai Tindak Lanjut Hasil Inspeksi.&lt;br&gt;-Agar Pelaku Usaha memastikan pekerja radiasi selalu menggunakan APD sesuai dengan prosedur.&lt;br /&gt;
 &lt;br /&gt;
 Untuk menutup temuan, pelaku usaha mengunggah foto penggunaan APD sebagai Tindak Lanjut Hasil Inspeksi&lt;br&gt;</t>
  </si>
  <si>
    <t>BLU RS Otak DR. Drs. M. Hatta Bukittinggi belum melakukan pemantauan paparan radiasi daerah kerja secara rutin.</t>
  </si>
  <si>
    <t>-BLU RS Otak DR. Drs. M. Hatta Bukittinggi agar membuat surat komitmen untuk melakukan pemantauan paparan pada daerah kerja dan sekitar ruangan penyinaran secara rutin dan membuat laporan pelaksanaan pemantauan paparan rutin&lt;br /&gt;
 Untuk menutup temuan, unggah Surat Komitmen tersebut pada menu TLHI (Tindak Lanjut Hasil Inspeksi) Balis Infara (https://balis-infara.bapeten.go.id) sebagai bukti tindak lanjut hasil inspeksi&lt;br /&gt;
 &lt;br&gt;</t>
  </si>
  <si>
    <t>Temuan 2.06.02 Point 1: Surat Komitmen melakukan Pemantauan Paparan pada Daerah Kerja dan sekitar Ruang Penyinaran secara rutin</t>
  </si>
  <si>
    <t>Tidak rutin mencatat hasil pengukuran paparan radiasi baik di tempat penyimpanan, saat pengangkutan maupun saat pengoperasian</t>
  </si>
  <si>
    <t>-Melakukan pencatatan pengukuran paparan radiasi secara rutin baik di tempat penyimpanan, saat pengangkutan maupun pada saat pengoperasian.&lt;br /&gt;
 &lt;br /&gt;
 Untuk menutup temuan, unggah logbook pengukuran paparan radiasi melalui menu TLHI pada sistem Balis Infara 2.0 https://balis-infara.bapeten.go.id/ sebagai bukti tindak lanjut hasil inspeksi.&lt;br /&gt;
 &lt;br&gt;</t>
  </si>
  <si>
    <t>Tidak melakukan pemantauan paparan radiasi:
 a. di Tempat Penyimpanan Radioaktif.
 b. di Lokasi kerja.
 c. saat pengangkutan.</t>
  </si>
  <si>
    <t>-Pelaku usaha agar melakukan pemantauan paparan radiasi di tempat penyimpanan radioaktif, lokasi kerja, dan saat pengangkutan, serta melakukan dokumentasi pelaksanaan pemantauan paparan radiasi.&lt;br /&gt;
 &lt;br /&gt;
 Untuk menutup temuan, unggah bukti tindak lanjut berupa dokumentasi pelaksanaan pemantauan paparan radiasi melalui menu TLHI (Tindak Lanjut Hasil lnspeksi) di Sistem Balis Infara {https://balis-infara.bapeten.go.id) Sebagai bukti tindak lanjut hasil inspeksi.&lt;br&gt;</t>
  </si>
  <si>
    <t>Pemantauan Paparan Radiasi</t>
  </si>
  <si>
    <t>Tidak rutin melakukan pemantauan paparan radaisi di tempat penyimpanan radioaktif dan saat Pengangkutan.</t>
  </si>
  <si>
    <t>-Pelaku Usaha agar melakukan pemantauan paparan radiasi di tempat penyimpanan radioaktif dan saat Pengangkutan dan mendokumentasikan hasil pemantauan&lt;br /&gt;
 Paparan radiasi ke dalam Kartu Pengukuran Paparan Radiasi.&lt;br /&gt;
 &lt;br /&gt;
 Untuk menutup temuan, unggah bukti tindak lanjut berupa Kartu Kesehatan melalui menu TLHI (Tindak Lanjut Hasil Inspeksi) di Sistem Balis Infara (https ://balis-infara.bapeten.go.id) sebagai bukti tindak lanjut hasil inspeksi.&lt;br&gt;</t>
  </si>
  <si>
    <t>berikut kami lampirkan hasil survey mingguan pada bunker dan saat pengangkutan</t>
  </si>
  <si>
    <t>02.06.03</t>
  </si>
  <si>
    <t>Hasil pengukuran paparan oleh inspektur menunjukkan paparan berlebih</t>
  </si>
  <si>
    <t>Paparan radiasi di area depan pintu bunker LINAC Clinac CX cukup tinggi (pada pengukuran 10 MV).
 Paparan radiasi neutron:
 • Jarak 30 cm dari pintu bunker: 0.30 uSv/jam;
 • Jarak 100 cm dari pintu bunker: 0.22 uSv/jam
 Paparan radiasi gamma
 • Jarak 30 cm dari pintu: 0.32 uSv/jam
 • Jarak 100 cm dari pintu bunker: 0.19 uSv/jam</t>
  </si>
  <si>
    <t>Menindaklanjuti rekomendasi agar BLU RSUP Prof. Dr. R.D. Kandou Manado memasang perimeter bahaya radiasi sehingga tidak ada pasien, anggota masyarakat, atau pekerja radiasi yang berdiri di depan pintu bunker LINAC Clinac CX, telah dilakukan pemasangan perimeter bahaya radiasi pada area di depan pintu bunker LINAC Clinac CX pada tanggal 30 April 2026.</t>
  </si>
  <si>
    <t>Berdasarkan hasil pengukuran paparan radiasi di ruangan belt conveyor, terdapat paparan radiasi cukup tinggi di sekitar zat radioaktif Cf 252.
 a. Permukaan mesin :1.03 MikroSv/jam
 b. Jarak 30 cm dari conveyor :0.33 MikroSv/jam
 c. Jarak 100 cm dari conveyor :0.29 MikroSv/jam</t>
  </si>
  <si>
    <t>-PT. Conch North Sulawesi Cement untuk memasang perimeter bahaya radiasi di sekitar conveyor yang berisi zat radioaktif agar tidak ada pekerja yang mendekat atau berdiri di sekitar conveyor.&lt;br /&gt;
 &lt;br /&gt;
 Unggah bukti pemasangan perimeter tersebut pada menu TLHI (Tindak Lanjut Hasil Inspeksi) BALIS INFARA (https://balis-infara.bapeten.go.id) sebagai bukti tindak lanjut hasil inspeksi.&lt;br /&gt;
 &lt;br&gt;</t>
  </si>
  <si>
    <t>Telah dibuatkan garis perimeter di sekitar peralatan radiasi</t>
  </si>
  <si>
    <t>Terdapat hasil pengukuran paparan radiasi berlebih pada pintu ruang operator, meja operator dan selasar CT-Scan Konvensional Philips 200077 CT XS Tube 306730 :
 o Pintu R. Operator: 1,73 uSv/jam;
 o Meja Operator : 0.95 uSv/jam
 o Tempat Duduk R. Tunggu: 0.12 uSv/jam;
 o Selasar: 0.43 uSv/jam</t>
  </si>
  <si>
    <t>-RS. Siloam Hospital Manado harus: &lt;br /&gt;
 Melakukan perbaikan pintu ruangan CT-Scan dan melakukan pengukuran paparan radiasi di ruang operator, ruang tunggu pasien dan selasar ruang CT Scan;&lt;br /&gt;
 &lt;br /&gt;
 Unggah hasil perbaikan pintu, pengukuran paparan pada area kerja dan publik yang tidak melebihi pembatas dosis yang ditetapkan pada menu TLHI (Tindak Lanjut Hasil Inspeksi) Balis Infara (https://balis infara.bapeten.go.id) sebagai bukti tindak lanjut hasil inspeksi &lt;br&gt;</t>
  </si>
  <si>
    <t>RSUD Daya Kota Makassar</t>
  </si>
  <si>
    <t>Jl. Perintis Kemerdekaan Km. 14 No. 17 b</t>
  </si>
  <si>
    <t>Jl. Perintis Kemerdekaan Km. 14 No. 17 b,Makassar,Sulawesi Selatan</t>
  </si>
  <si>
    <t>00080.01.03782.01.1.0426</t>
  </si>
  <si>
    <t>Pengukuran paparan radiasi di ruangan CT Scan menunjukkan peningkatan paparan lebih dari 3x background di depan pintu ruangan dan di ruang operator sebesar 1,41 mikroSv/jam.</t>
  </si>
  <si>
    <t>-Pelaku Usaha agar melakukan upaya untuk menurunkan laju paparan di pintu ruangan dan di ruang operator (antara lain memperbaiki pintu operator atau menambah Pb di sekitar ruang operator) sesuai arahan tim Inspeksi.&lt;br /&gt;
 Unggah foto perbaikan pintu ruangan tersebut melalui menu TLHI (Tindak Lanjut Hasil Inspeksi) di Sistem Balis Infara (https://balis-infara.bapeten.go.id) sebagai bukti tindak lanjut hasil inspeksi.&lt;br /&gt;
 &lt;br /&gt;
 &lt;br&gt;</t>
  </si>
  <si>
    <t>1. Telah melakukan perbaikan pada pintu ruangan CT Scan sebagai sumber kenaikan laju paparan dengan menambahkan atau 
  menutup Lubang kunci pada pintu ruangan CT Scan dengan Pb.
 2. Telah melakukan perbaikan di ruang operator di area /sebelah kanan bingkai kaca Pb sebab naiknya laju paparan,
  dengan menambahkan atau menutup bingkai kaca Pb dengan Pb.</t>
  </si>
  <si>
    <t>Hasil pengukuran paparan radiasi di ruang operator pesawat CT Scan GE Revolution Frontier (5232085-203) dan Hitachi Scenaria menunjukkan laju dosis mencapai 0,6 s.d 0,7 mikroSievert/jam, sehingga perlu pengaturan jam kerja untuk para Radiografer.</t>
  </si>
  <si>
    <t>-RSHS segera mengatur jam kerja untuk Radiografer yang mengoperasikan CT Scan.&lt;br /&gt;
 &lt;br /&gt;
 Untuk menutup temuan, unggah bukti pengaturan jam kerja tersebut pada menu TLHI (Tindak Lanjut Hasil Inspeksi) Balis Infara (https://balis-infara.bapeten.go.id) sebagai bukti tindak lanjut hasil inspeksi.&lt;br&gt;</t>
  </si>
  <si>
    <t>Pembagian Jadwal CT Scan</t>
  </si>
  <si>
    <t>Pengukuran paparan radiasi Linac dilakukan pada sudut 0, 90, 180, dan 270 derajad, hasil pengukuran berupa rekapitulasi excel yang tidak dapat memberikan bukti:
 - setting energi, luas lapangan dan sudut kolimasi, dan surveymeter yang digunakan
 - petugas yang melakukan pengukuran
 - tanggal pengukuran.</t>
  </si>
  <si>
    <t>-Pelaku Usaha segera membuat form pengukuran paparan radiasi.&lt;br /&gt;
 &lt;br /&gt;
 Untuk menutup temuan, unggah form pengukuran paparan radiasi pada menu TLHI (Tindak Lanjut Hasil Inspeksi) Balis Infara (https://balis-infara.bapeten.go.id) sebagai bukti tindak lanjut hasil inspeksi&lt;br&gt;</t>
  </si>
  <si>
    <t>Upload bukti pengukuran paparan radiasi</t>
  </si>
  <si>
    <t>Hasil pengukuran paparan radiasi pesawat sinar-X Dental CBCT merk: Carestream CS 8100SC 3D, tipe: D-067, no. seri: 9758 dengan kondisi penyinaran 80 kV/200 mA terukur di ruang tunggu pasien mencapai 0,6 mikroSievert/jam.</t>
  </si>
  <si>
    <t>-RS Santo Borromeus segera membuat SOP proteksi radiasi untuk pemeriksaan Dental CBCT dan memindahkan kursi tunggu di depan pintu ruang CBCT.&lt;br /&gt;
 &lt;br /&gt;
 Untuk menutup temuan, unggah SOP proteksi radiasi pemeriksaan CBCT dan pemindahan kursi tunggu pada menu TLHI (Tindak Lanjut Hasil Inspeksi) Balis Infara (https://balis-infara.bapeten.go.id) sebagai bukti tindak lanjut hasil inspeksi.&lt;br&gt;</t>
  </si>
  <si>
    <t>PEMASANGAN PB PADA JENDELA RUANG PANORAMIK DAN DENTAL</t>
  </si>
  <si>
    <t>Paparan radiasi untuk penyinaran Lumbal dengan posisi berkas mengarah ke ruang operator terukur laju paparan radiasi sebesar 11,5 uSv/jam</t>
  </si>
  <si>
    <t>-BLU RS. Tk. II. 03.05.01. Dustira / Kesdam III Siliwangi wajib memastikan paparan radiasi untuk ruang operator tidak melebihi nilai batas laju paparan yang diizinkan.&lt;br /&gt;
 &lt;br /&gt;
 Unggah bukti perbaikan kaca intip Pb dan hasil pengukuran paparan ulang pada ruang operator pada menu TLHI (Tindak Lanjut Hasil Inspeksi) BALIS INFARA (https://balis-infara.bapeten.go.id) sebagai bukti tindak lanjut hasil inspeksi.&lt;br&gt;</t>
  </si>
  <si>
    <t>Terdapat paparan berlebih di sekitar pintu bunker radioterapi sebesar 0,27 µSv/h.</t>
  </si>
  <si>
    <t>-Pelaku Usaha agar membuat pencegahan (pembatas) agar tidak ada orang yang masuk ke area di depan pintu masuk RT hingga 4m dari pintu.&lt;br /&gt;
 &lt;br /&gt;
 Untuk menutup temuan, unggah bukti berupa foto pemasangan pembatas melalui menu TLHI (Tindak Lanjut Hasil Inspeksi) di Sistem Balis Infara (https://balis-infara.bapeten.go.id) sebagai bukti tindak lanjut hasil inspeksi.&lt;br&gt;</t>
  </si>
  <si>
    <t>Pembatas Radioterapi</t>
  </si>
  <si>
    <t>Radiasi di tempat/posisi operator melakukan ekspos mencapai 0,46 uSv/jam karena saat melakukan ekspos pintu ruangan tidak tertutup rapat.</t>
  </si>
  <si>
    <t>-Pelaku Usaha agar mengkondisikan posisi radiografer dicegah dari penerimaan radiasi pada bagian bawah tubuhnya.&lt;br /&gt;
 &lt;br /&gt;
 Untuk menutup temuan, unggah foto modifikasi ruangan (sebelum dan sesudah) atau pembuatan prosedur yang sudah dilakukan untuk mencegah radiografer menerima radiasi pada bagian bawah tubuhnya melalui menu TLHI (Tindak Lanjut Hasil Inspeksi) di Sistem Balis Infara (https://balis-infara.bapeten.go.id) sebagai bukti tindak lanjut hasil inspeksi.&lt;br&gt;</t>
  </si>
  <si>
    <t>Radiasi di Ruang X-ray melebihi nilai background dengan rincian:
 a. Penyinaran menggunakan alat GE (penyinaran lumbal):
 - Pintu Operator: 1,40 uSv/jam
 - Depan pintu ruangan: 0,65 uSv/jam
 b. Penyinaran menggunakan alat mobile General Medical Merate :
 - Operator: 0,44 uSv/jam
 -Depan pintu ruangan: 0,58 uSv/jam</t>
  </si>
  <si>
    <t>-Pelaku Usaha agar mengkondisikan paparan di ruang operator dan depan pintu tidak melebihi background.&lt;br /&gt;
 &lt;br /&gt;
 Untuk menutup temuan, unggah foto perbaikan ruangan melalui menu TLHI (Tindak Lanjut Hasil Inspeksi) di Sistem Balis Infara (https://balis-infara.bapeten.go.id) sebagai bukti tindak lanjut hasil inspeksi.&lt;br&gt;</t>
  </si>
  <si>
    <t>Radiasi di bagian bawah operator mencapai 0,42 uSv/jam, dengan catatan bahwa radiasi alam di lokasi sekitar 0,11 uSv/jam.</t>
  </si>
  <si>
    <t>-Pelaku Usaha agar mengkondisikan posisi radiografer dicegah dari penerimaan radiasi pada bagian bawah tubuhnya.&lt;br /&gt;
 &lt;br /&gt;
 Untuk menutup temuan, unggah foto penambahan media untuk mencegah radiografer menerima radiasi pada bagian bawah tubuhnya melalui menu TLHI (Tindak Lanjut Hasil Inspeksi) di Sistem Balis Infara (https://balis-infara.bapeten.go.id) sebagai bukti tindak lanjut hasil inspeksi.&lt;br&gt;</t>
  </si>
  <si>
    <t>alat bantu pijakan</t>
  </si>
  <si>
    <t>Saranaduta Jasamedika</t>
  </si>
  <si>
    <t>Jl. Raya Pluit Selatan No. 2</t>
  </si>
  <si>
    <t>Jl. Raya Pluit Selatan No. 2,Jakarta Utara,DKI Jakarta</t>
  </si>
  <si>
    <t>00130.01.07106.01.1.0626</t>
  </si>
  <si>
    <t>Hasil pengukuran paparan oleh inspektur, di pintu masuk pasien ruang pesawat 1 terdapat kenaikan paparan terbaca 0, 22 uSv/h</t>
  </si>
  <si>
    <t>-Pelaku usaha agar melakukan perbaikan pintu pada ruang pesawat 1. Untuk menutup temuan unggah foto perbaikan pintu melalui menu TLHI (Tindak Lanjut Hasil Inspeksi) di Sistem Balis Infara (https://balisinfara.bapeten.go.id) sebagai bukti tindak lanjut hasil inspeksi. &lt;br&gt;</t>
  </si>
  <si>
    <t>Sudah dilakukan perbaikan pintu di ruang foto 1 dengan menambah Pb di beberapa sisi pintu. Setelah itu dilakukan Uji paparan oleh petugas BPFK sehingga di ketahui dosis paparan di depan pintu masuk ruang foto 1 adalah 0,05 microSv.Sudah dilakukan uji paparan oleh penguji dari BPFK Jakarta tanggal 4 Agustus 2029</t>
  </si>
  <si>
    <t>Hasil pengukuran paparan radiasi pada ruang pesawat CT-Scan, terdapat kenaikan paparan pada celah pintu masuk sebesar 0.96 uSv/jam dan pada pintu ruang operator terbaca 1.29 uSv/jam (Bg: 0.04 uSv/jam)</t>
  </si>
  <si>
    <t>-Pelaku usaha agar melakukan perbaikan pada pintu masuk pasien dan pintu ruang operator sehingga paparan radiasi tidak bocor melalui pintu. Untuk menutup temuan unggah foto perbaikan kedua pintu tersebut melalui menu TLHI (Tindak Lanjut Hasil Inspeksi) di Sistem Balis Infara (https://balis-infara.bapeten.go.id) sebagai bukti tindak lanjut hasil inspeksi. &lt;br&gt;</t>
  </si>
  <si>
    <t>Dokumentasi Proses Perbaikan pada pintu masuk pasien dan pintu ruang operator</t>
  </si>
  <si>
    <t>Pada saat dilakukan expose Thorax terdapat kenaikan paparan radiasi di pintu masuk ruang radiologi terukur sebesar 1.29 mikro sievert/jam, dikarenakan pinti tidak bisa tertutup rapat karena terganjal kabel .</t>
  </si>
  <si>
    <t>-Pelaku usaha agar memperbaiki pintu ruangan radiologi supaya bisa tertutup rapat, panel kontrol agar dikeluarkan dari ruangan dan diletakkan di ruang operator serta menambah kaca intip Pb untuk mengontrol pasien selama penyinaran. Untuk menutup temuan unggah foto pintu setelah dilakukan perbaikan dan alat panel yang sudah dipindahkan pada menu TLHI (Tindak Lanjut Hasil Inspeksi) di Sistem Balis Infara (https://balisinfara.bapeten.go.id) sebagai bukti tindak lanjut hasil inspeksi. &lt;br&gt;</t>
  </si>
  <si>
    <t>Telah dilaksanakan perbaikan :
 1.Pelebaran pintu dan penambahan timbal di celah pintu untuk menutup celah pintu sehingga pintu tertutup rapat dan tidak ada lagi celah yang bisa menimbulkan paparan radiasi
 2. Pintu telah dilengkapi kaca intip Pb 
 3. Untuk Kontrol panel , kami telah melakukan pemindahan tombol ekspose tanpa harus memindahkan kontrol panel nya dengan cara memasukkan kabel kontrol panel melalui bawah dan tertanam ditembok bertimbal sehingga radiografer bisa mengoperasikan melalui pintu intip dan pintu tetap tertutup rapat saat pasien diekspose.</t>
  </si>
  <si>
    <t>Terdapat peningkatan paparan radiasi pada Ruang Panoramik, dimana pada R. Operator sebesar 0,49uSv/jam, dan R. Administrasi sebesar 0.19uSv/jam</t>
  </si>
  <si>
    <t>-Pelaku Usaha agar melakukan upaya untuk meminimalkan paparan radiasi bagi pekerja radiasi.&lt;br /&gt;
 &lt;br /&gt;
 Untuk menutup temuan, unggah bukti upaya yang dilakukan melalui menu TLHI (Tindak Lanjut Hasil Inspeksi) di Sistem Balis Infara (https://balis-infara.bapeten.go.id) sebagai bukti tindak lanjut hasil inspeksi.&lt;br&gt;</t>
  </si>
  <si>
    <t>Telah dilakukan telaah modifikasi layout radiologi untuk selanjutnya dapat di penuhi oleh manajemen RS.</t>
  </si>
  <si>
    <t>Nilai dosis pada penyinaran panoramik melampaui di atas 200 % dari TPD nasional untuk penyinaran panoramik.</t>
  </si>
  <si>
    <t>LAPORAN HASIL OPTIMISASI DOSIS RADIASI PANORAMIK RS SENTRA MEDIKA CISALAK</t>
  </si>
  <si>
    <t>Ruang persiapan radiofarmaka di fasilitas kedokteran nuklir terdeteksi kontaminasi 11,7cps di lantai dan di permukaan meja 11.4cps atau setara 3.75 Bq/cm2.</t>
  </si>
  <si>
    <t>Berdasarkan hasil inspeksi ke layanan kedokteran nuklir secara langsung :
 1. Terdapat hasil pengukuran paparan di meja injeksi pasien (pengukuran dilakukan ketika tidak terdapat Tindakan penyuntikan atau penyiapan ZRA) pada jarak 30 cm dari meja sebesar : 6.51 uSv/jam menggunakan surveymeter gamma dan 4726 cps dengan surveimeter kontaminasi
 2. Terdapat hasil pengukuran paparan :
 • Tempat penyimpanan limbah padat ZRA :
 a. Diatas tempat penyimpanan limbah radioaktif : 3.66 uSv/jam
 b. Di depan Pintu tempat penyimpanan limbah padat pada jarak 100 cm : 6.51 uSv/jam (5,75 cps).
 c. Di ruangan sekitar hot lab : 14.1 uSv/jam
 d. Ruang anestesi (ruang di sebelah ruang tunggu pasca pemberian radiofarmaka : 9.56 uSv/jam
 e. Ruang Tunggu CT Scan 128 slice di ruang radiologi I (lokasi bersebrangan dengan ruang fasilitas kedokteran nuklir : 14,4 uSv/jam.
 f. Pb Timbal pada pintu yang tidak memadai.
 3. Belum tersedia lemari peluruh limbah padat untuk post injeksi di ruang limbah radioaktif
 4. Belum tersedia Kontainer zat radioaktif di ruangan hot lab (zat radioaktif hanya diletakkan di balik Pb timbal yang disusun di hotlab).</t>
  </si>
  <si>
    <t>-RSUP Dr. M. Djamil Padang harus :&lt;br /&gt;
 1. Memastikan pemantauan kontaminasi pekerja radiasi maupun pasien layanan kedokteran nuklir&lt;br /&gt;
 2. Melakukan pemantauan paparan radiasi pada daerah kerja dan daerah publik untuk memastikan paparan radiasi di area kerja dan publik tidak melebihi batas Nilai Batas Dosis.&lt;br /&gt;
 3. Untuk ruang tunggu CT Scan 128 slice di ruang radiologi I yang menunjukkan laju dosis tinggi, fasilitas agar :&lt;br /&gt;
 • melakukan evaluasi menyeluruh terhadap penyebab tingginya laju dosis serta melaksanakan tindakan korektif yang diperlukan untuk memastikan paparan di ruang tunggu pasien CT-Scan memenuhi persyaratan proteksi radiasi daerah public sesuai ketentuan BAPETEN.&lt;br /&gt;
 • Menerapkan pengendalian administratif, seperti pembatasan waktu tunggu, pengaturan akses, atau rekonstruksi ulang penempatan ruang tunggu CT - Scan sementara area tunggu apabila diperlukan.&lt;br /&gt;
 4. Fasilitas agar melakukan evaluasi terhadap desain perisai radiasi pada pintu ruang kedokteran nuklir, termasuk verifikasi ketebalan lapisan timbal berdasarkan perhitungan shielding dan/atau pengukuran laju dosis. Apabila hasil evaluasi menunjukkan bahwa ketebalan perisai belum memadai, fasilitas agar melakukan perbaikan atau penambahan perisai sehingga laju dosis di area sekitar pintu memenuhi persyaratan proteksi radiasi sesuai ketentuan BAPETEN.&lt;br /&gt;
 5. Penyediaan lemari peluruh limbah padat untuk penyimpanan limbah sementara di ruang limbah radioaktif&lt;br /&gt;
 6. Penyediaan container zat radioaktif untuk penyimpanan zat radioaktif d hotlab&lt;br /&gt;
 &lt;br /&gt;
 Unggah :&lt;br /&gt;
 1. Surat komitmen yang ditandatangani Direktur RSUP Dr. M. Djamil Padang yang menyatakan:&lt;br /&gt;
 • pelaksanaan pemantauan kontaminasi pekerja radiasi dan pasien secara rutin sesuai program proteksi radiasi;&lt;br /&gt;
 • pelaksanaan pemantauan paparan radiasi di daerah kerja dan daerah publik secara berkala sesuai ketentuan BAPETEN.&lt;br /&gt;
 2. Dokumen bukti pelaksanaan tindakan korektif pada ruang tunggu CT Scan&lt;br /&gt;
 3. Laporan evaluasi desain perisai radiasi pintu ruang kedokteran nuklir&lt;br /&gt;
 4. penyediaan lemari peluruh limbah padat, berupa: foto penempatan lemari peluruh yang telah dipasang;&lt;br /&gt;
 5. Penyediaan Kontainer penyimpanan zat radioaktif di ruangan hot lab&lt;br /&gt;
 &lt;br /&gt;
 Unggah dokumen-dokumen tersebut pada menu TLHI (Tindak Lanjut Hasil Inspeksi) BALIS INFARA (https://balis-infara.bapeten.go.id) sebagai bukti tindak lanjut hasil inspeksi .&lt;br&gt;</t>
  </si>
  <si>
    <t>SURAT PERNYATAAN KOMITMEN PELAKSANAAN PEMANTAUAN KONTAMINASI DAN PAPARAN RADIASISURAT PERNYATAAN PEMANTAUAN PAPARAN RADDIASI SECARA PERIODIK</t>
  </si>
  <si>
    <t>Berdasarkan hasil inspeksi ke layanan Ra-diologi secara langsung:
 1. Dilakukan pengukuran paparan radiasi di daerah Pesawat Sinar-X CT-Scan (CT-Scan Konvensional), Merk Tabung : Philips, Tipe Tabung : MRC880, No Seri Tabung : 163889
 2. Terdapat hasil pengukuran paparan ra-diasi (kondisi penyinaran 120 kVp, 318 mAs
 • Pintu Operator Jarak 10 cm : 0.57 uSv/jam
 • Pintu Operator Jarak 100 cm : 1.47 uSv/jam
 • Meja Operator, jarak 30 cm : 0.18 uSv/jam
 • Ruang tepat diatas Peralatan CT Scan : 0.08 uSv/jam
 3. Terdapat celah di pintu operator</t>
  </si>
  <si>
    <t>-RSUP Dr. M. Djamil Padang harus melakukan pengukuran paparan radiasi di ruang operator, ruang tunggu pasien dan selasar ruang CT Scan dan Melakukan perbaikan celah pintu ruangan CT-Scan&lt;br /&gt;
 &lt;br /&gt;
 Unggah, pengukuran paparan pada area kerja dan publik yang tidak melebihi pembatas dosis yang ditetapkan dan hasil perbaikan celah pintu, pada menu TLHI (Tindak Lanjut Hasil Inspeksi) Balis Infara (https://balis infara.bapeten.go.id) sebagai bukti tindak lanjut hasil inspeksi&lt;br&gt;</t>
  </si>
  <si>
    <t>Terdapat paparan radiasi yang berlebih di area:
 • Ruang Laboratorium: 0.13 uSv/jam;
 • Ruang TCM: 0.19 uSv/jam;
 • Ruang Pintu CT-Scan Siemens Somatom go.now (32 Slice): 0.28 uSv/jam</t>
  </si>
  <si>
    <t>-Pelaku Usaha agar memastikan:&lt;br /&gt;
 • Laju paparan radiasi di daerah ruangan laboratorium, ruang TCM dan depan pintu CT-Scan Siemens Somatom go.now (32 Slice): 0.5 mSv/tahun = 0.1 uSv/jam (sesuai Pembatas Dosis yang ditetapkan RS).&lt;br /&gt;
 &lt;br /&gt;
 Unggah bukti:&lt;br /&gt;
 - Foto perbaikan pintu ruang CT-Scan Siemens Somatom go.now;&lt;br /&gt;
 - Foto Perubahan tata letak ruangan laboratorium yang bersebelahan dengan ruangan CT-Scan.&lt;br /&gt;
 - Atau Foto perbaikan dinding sekitar ruang CT Scan dengan menambahkan Pb.&lt;br /&gt;
 &lt;br /&gt;
 Foto tersebut diunggah melalui menu TLHI (Tindak Lanjut Hasil Inspeksi) di Sistem BALIS INFARA (https://balis-infara.bapeten.go.id) sebagai bukti tindak lanjut hasil inspeksi.&lt;br /&gt;
 &lt;br&gt;</t>
  </si>
  <si>
    <t>Terdapat paparan radiasi berlebih di sekitar ruangan CT-Scan GE Revolution EVO (128 slice)
 • Depan pintu ruangan CT-Scan (depan) jarak 50 cm: 0.90 uSv/jam;
 • Depan pintu – kursi tunggu pada jarak 5 m: 0.23 uSv/jam;
 • Depan pintu ruangan operator CT-Scan jarak 50 cm: 0.24 uSv/jam;
 • Depan pintu ruangan CT-Scan jarak 5 m: 0.20 uSv/jam;
 • Depan pintu ruangan administrasi (5 cm): 0.12 uSv/jam</t>
  </si>
  <si>
    <t>-Pelaku Usaha untuk memastikan agar masyarakat umum aman dari bahaya radiasi;&lt;br /&gt;
 • Memindahkan kursi yang berada di depan pintu CT-Scan;&lt;br /&gt;
 • Membuat tanda bahaya radiasi dan perimeter di depan pintu CT-Scan;&lt;br /&gt;
 • Memperbaiki pintu CT-Scan yang berada di luar (akses pasien masuk) maupun pintu di dalam (akses personil)&lt;br /&gt;
 &lt;br /&gt;
 Unggah foto perbaikan pintu (akses pasien &amp; akses personil) dan kursi depan pintu CT-Scan (akses pasien melalui menu TLHI (Tindak Lanjut Hasil Inspeksi) di Sistem BALIS INFARA (https://balis-infara.bapeten.go.id) sebagai bukti tindak lanjut hasil inspeksi.&lt;br /&gt;
 &lt;br /&gt;
 &lt;br&gt;</t>
  </si>
  <si>
    <t>hasil uji paparan bpafk juni 2026</t>
  </si>
  <si>
    <t>03.01.04</t>
  </si>
  <si>
    <t>Data sumber radiasi tidak sesuai</t>
  </si>
  <si>
    <t>Kondisi perizinan:
 a. Pesawat sinar-X Ziehm C Arm Mobile, DF-151R-0.5/1.5-110-40/912/000 2J-2748,110 kV/40 mA (pengadaan tahun 2012), dengan kondisi pesawat sinar-X rusak. RSHS belum mengajukan penghapusan data BMN.
 b. Pesawat sinar-X Siemens Siremobile Compact, tipe: SR110 (08855199), no. seri: 551665, dengan kondisi pesawat sinar-X rusak. RSHS belum mengajukan perubahan izin pengurangan sumber radiasi pengion.</t>
  </si>
  <si>
    <t>-RSHS segera membuat surat penghapusan data pesawat sinar-X Ziehm C Arm Mobile.&lt;br /&gt;
 &lt;br /&gt;
 Untuk menutup temuan, unggah Surat Penghapusan tersebut pada menu TLHI (Tindak Lanjut Hasil Inspeksi) Balis Infara (https://balis-infara.bapeten.go.id) sebagai bukti tindak lanjut hasil inspeksi.&lt;br&gt;-RSHS segera melakukan permohonan perubahan Rekomendasi Izin (Perubahan Data Sumber Radiasi Pengion). &lt;br /&gt;
 &lt;br /&gt;
 Untuk menutup temuan, unggah KTUN perubahan Rekomendasi Izin tersebut pada menu TLHI (Tindak Lanjut Hasil Inspeksi) Balis Infara (https://balis-infara.bapeten.go.id) sebagai bukti tindak lanjut hasil inspeksi.&lt;br&gt;</t>
  </si>
  <si>
    <t>Surat Keterangan Pengajuan Penghapusan</t>
  </si>
  <si>
    <t>1. Terdapat 1 (satu) unit SRP kondisi rusak berat, tetapi memiliki izin yang masih berlaku, yaitu Philips, tipe Ingenuity CT, nomor seri 127144.
 2. Allura XPER FD10, tipe tabung MRC 200 0508 (9890 000 86511), no. seri 146114 sudah ganti tabung dengan tabung no seri 405898, posisi tabung lama disimpan bagian asset.</t>
  </si>
  <si>
    <t>Penonaktifan Philips tipe Ingenuity CT, nomor seri 127144 dan 
 Allura XPER FD10 tipe tabung MRC 200 0508 (9890 000 86511) no. seri 146114</t>
  </si>
  <si>
    <t>Terdapat SRP yang telah dilakukan pelimbahan namun belum dilakukan pengurangan pada KTUN. PT. Halliburton Logging pada tahun 2025 pernah mengajukan pengurangan data sumber pada KTUn Izin dengan nomor registrasi 123181.25 namun dibatalkan.</t>
  </si>
  <si>
    <t>-Pelaku Usaha agar melanjutkan permohonan perubahan data SRP sampai dengan selesai.&lt;br /&gt;
 &lt;br /&gt;
 Untuk menutup temuan, unggah bukti KTUN terbaru yang telah mengurangi SRP yang telah dilimbahkan melalui menu TLHI (Tindak Lanjut Hasil Inspeksi) di Sistem Balis Infara (https://balis-infara.bapeten.go.id) sebagai bukti tindak lanjut hasil inspeksi.&lt;br&gt;</t>
  </si>
  <si>
    <t>Sudah dilakukan pengurangan SRP
 KTUN izin sudah terbit dengan nomor KTUN 07848.708.3.010726, No. Registrasi 115758.26
 Terbit 1 Juli 2026</t>
  </si>
  <si>
    <t>Halliburton Indonesia</t>
  </si>
  <si>
    <t>00145.01.06905.08.1.0626</t>
  </si>
  <si>
    <t>Terdapat beberapa Zat Radioaktif yang sudah direekspor: Cs-137 A3906 DB-792, DB-138, EB-046, EB-047, FB-434 tetapi masih tercantum dalam Surat Izin Ekspor Zat Radioaktif Nomor 08347.380.3.290823 (MB. 29 Mei 2027).</t>
  </si>
  <si>
    <t>-Pelaku Usaha agar mengajukan revisi izin Ekspor Zat Radioaktif sesuai dengan kondisi di lapangan.&lt;br /&gt;
 &lt;br /&gt;
 Untuk menutup temuan, unggah bukti revisi izin melalui menu TLHI (Tindak Lanjut Hasil Inspeksi) di Sistem Balis Infara (https://balis-infara.bapeten.go.id) sebagai bukti tindak lanjut hasil inspeksi.&lt;br&gt;</t>
  </si>
  <si>
    <t>Telah revisi izin Ekspor Zat Radioaktif sesuai dengan kondisi di lapangan.</t>
  </si>
  <si>
    <t>Delfi Yuraku Indonesia</t>
  </si>
  <si>
    <t>Jl. Raya Dayeuhkolot No. 90, Pasawahan, Dayeuhkolot</t>
  </si>
  <si>
    <t>Jl. Raya Dayeuhkolot No. 90, Pasawahan, Dayeuhkolot,Bandung,Jawa Barat</t>
  </si>
  <si>
    <t>00135.01.11153.12.1.0626</t>
  </si>
  <si>
    <t>Tabung merk Toshiba, tipe tabung I-222, nomor seri tabung 7M93138 sudah diganti dengan tabung baru merk Canon, tipe tabung I-222, nomor seri tabung 3K16487.
 Tabung lama sudah ditarik oleh vendor</t>
  </si>
  <si>
    <t>-Pelaku Usaha agar melakukan perubahan KTUN untuk pengurangan SRP merk Toshiba, tipe tabung I-222, nomor seri tabung 7M93138 melalui Balis Perizinan.&lt;br /&gt;
 &lt;br /&gt;
 Untuk menutup temuan, unggah KTUN terbaru melalui menu TLHI (Tindak Lanjut Hasil Inspeksi) di Sistem Balis Infara (https://balis-infara.bapeten.go.id) sebagai bukti tindak lanjut hasil inspeksi.&lt;br /&gt;
 &lt;br&gt;</t>
  </si>
  <si>
    <t>Surat KeputusanBAPETEN untuk KTUN berlaku sampai dengan 09 Oktober 2027 :
 1. Penggunaan SRP merk Canon, tipe tabung I-222, nomor seri tabung 3K16487
 2. Pengurangan SRP merk Toshiba, tipe tabung I-222, nomor seri tabung 7M93138
 KEPUTUSAN KEPALA BADAN PENGAWAS TENAGA NUKLIR 
 NOMOR : 07360.740.3.220626
 TENTANG PERUBAHAN REKOMENDASI UJI TAK RUSAK MENGGUNAKAN SUMBER RADIASI PENGION TERPASANG TETAP
 NOMOR : 09915.493.3.260925</t>
  </si>
  <si>
    <t>Kraft Ultrajaya Indonesia</t>
  </si>
  <si>
    <t>Jl. Raya Cimareme No. 131, Cimareme, Ngamprah</t>
  </si>
  <si>
    <t>Jl. Raya Cimareme No. 131, Cimareme, Ngamprah,Bandung Barat,Jawa Barat</t>
  </si>
  <si>
    <t>00133.01.08483.12.1.0626</t>
  </si>
  <si>
    <t>Terdapat 3 (tiga) SRP yang sudah dilepas dari mesin karena sudah habis lifetime
 1. Anritsu Tipe Unit : KXS7522AVCLE (KXU2512AATN)
 No Seri Unit : 4660342428 (4660342429)
 Tabung Anritsu Tipe Tabung : KXS7522AVCLE (KXU2512AATN)
 No Seri Tabung : 660342428(4660342429 
 2. Anritsu Tipe Unit : KXU2512AATN
 No Seri Unit : 4600350578 
 Tabung Anritsu Tipe Tabung : KXU2512AATN
 No Seri Tabung : 4600350578
 3. Anritsu Tipe Unit : KD7405AWH
 No Seri Unit : 460026637
 Tabung Anritsu Tipe Tabung : KD2623AT1
 No Seri Tabung : 4600193066</t>
  </si>
  <si>
    <t>-Pelaku Usaha agar melakukan perubahan KTUN dengan mengurangi data SRP yang sudah tidak digunakan melalui Balis Perizinan.&lt;br /&gt;
 &lt;br /&gt;
 Untuk menutup temuan, unggah KTUN terbaru melalui menu TLHI (Tindak Lanjut Hasil Inspeksi) di Sistem Balis Infara (https://balis-infara.bapeten.go.id) sebagai bukti tindak lanjut hasil inspeksi.&lt;br /&gt;
 &lt;br&gt;</t>
  </si>
  <si>
    <t>Melakukan serah terima pengembalian tabung X-Ray yang akan dibuang ke pihak ketiga
 BPTN-KTUN Perubahan setelah pengurangan</t>
  </si>
  <si>
    <t>a. Terdapat 1 (satu) SRP yang sudah tidak ada di lokasi, dikembalikan ke vendor. 
  Merk Mettler Toledo Safeline X-Ray, tipe unit X34 nomor seri unit B830167262, tipe tabung SAX 1602, nomor seri tabung BQ 9035 
 b. Terdapat 1 (satu) SRP sudah ganti tabung. Tabung lama BU 2399 diganti menjadi BSI001346. Line belum dioperasikan</t>
  </si>
  <si>
    <t>-Pelaku Usaha agar melakukan perubahan KTUN melalui Balis Perizinan dengan melakukan pengurangan SRP dengan data sebagai berikut:&lt;br /&gt;
 &lt;br /&gt;
 a. Merk Mettler Toledo Safeline X-Ray, tipe unit X34 nomor seri unit B830167262, tipe tabung SAX 1602, nomor seri tabung BQ 9035&lt;br /&gt;
 b. Merk Mettler Toledo Safeline X-Ray, tipe tabung SAX 1602, nomor seri tabung BU 2399&lt;br&gt;-Pelaku Usaha agar melakukan perubahan KTUN melalui Balis Perizinan dengan melakukan penambahan SRP untuk tabung nomor seri BSI001346. &lt;br&gt;</t>
  </si>
  <si>
    <t>Terdapat 6 (enam) unit SRP yang rusak dan tidak akan digunakan lagi, yaitu:
 1. Merk Unit: Shimadzu
 Tipe Unit: EDX-720
 No Seri Unit: Q23644401358 CZ
 Merk Tabung: Shimadzu
 Tipe Tabung: EDX-720
 No Seri Tabung: Q23644401358 CZ
 Kondisi Maksimum: 50 kV / 1 mA
 Lokasi Pemanfaatan:Ruangan Laboratorium Quality Assurance (Lab QA)
 2. Merk Unit: Rigaku
 Tipe Unit: 2991F1
 No Seri Unit: OD00883
 Merk Tabung: Rigaku
 Tipe Tabung: 2991F1
 No Seri Tabung: OD00883 (I1083)
 Kondisi Maksimum: 30 kV / 5 mA
 Lokasi Pemanfaatan: Ruangan Sortir Angle Blank
 3. Merk Unit: Rigaku
 Tipe Unit: 2991F1
 No Seri Unit: SD28471
 Merk Tabung: Rigaku
 Tipe Tabung: 2991F1
 No Seri Tabung: SD28471 (10042)
 Kondisi Maksimum: 30 kV / 5 mA
 Lokasi Pemanfaatan: Ruangan Sortir Angle Blank
 4. Merk Unit: Rigaku
 Tipe Unit: 2991F1
 No Seri Unit: OD0881
 Merk Tabung: Rigaku
 Tipe Tabung: 2991F1
 No Seri Tabung: OD0881 (K1086)
 Kondisi Maksimu: 30 kV / 5 mA
 Lokasi Pemanfaatan: Ruangan Sortir Angle Blank
 5. Merk Unit: Rigaku
 Tipe Unit: 2991F1
 No Seri Unit: GD1231
 Merk Tabung: Rigaku
 Tipe Tabung: 2991F1
 No Seri Tabung: GD1231 (C13382502)
 Kondisi Maksimum: 30 kV / 5 mA
 Lokasi Pemanfaatan: Ruangan Setting Lumbered Blank
 6. Merk Unit: Rigaku
 Tipe Unit: Rigaku Denki
 No Seri Unit: 2992B1
 Merk Tabung: Canon
 Tipe Tabung: ANALIX A-41L Series 9407F8
 No Seri Tabung: 9407F8(7496)
 Kondisi Maksimum: 60 kV / 50 mA
 Lokasi Pemanfaatan: Ruangan Sortir Angle Blank</t>
  </si>
  <si>
    <t>-Kode Temuan 3.01.04&lt;br /&gt;
 Pelaku Usaha agar mengajukan permohonan pengurangan data SRP ke BAPETEN melalui BALIS Perizinan.&lt;br /&gt;
 &lt;br /&gt;
 KTUN yang sudah dilakukan perubahan diunggah di Sistem Balis Infara (https://balis-infara.bapeten.go.id) pada menu TLHI (Tindak Lanjut Hasil Inspeksi) sebagai bukti tindak lanjut hasil inspeksi.&lt;br /&gt;
 &lt;br&gt;</t>
  </si>
  <si>
    <t>Telah mengajukan permohonan pengurangan Sumber Radiasi PengionTelah terbit KTUN nomor 08824.709.3.220726 tentang pengurangan Sumber Radiasi Pengion</t>
  </si>
  <si>
    <t>Sarana Instrument</t>
  </si>
  <si>
    <t>Graha Semesta Lt. 3, Jl. Raya Kebayoran Lama Pal VII No.31</t>
  </si>
  <si>
    <t>Graha Semesta Lt. 3, Jl. Raya Kebayoran Lama Pal VII No.31,Jakarta Selatan,DKI Jakarta</t>
  </si>
  <si>
    <t>00190.01.06261.15.1.0726</t>
  </si>
  <si>
    <t>Terdapat perbedaan lokasi tempat penyimpanan (bunker) zat radioaktif dari KTUN izin impor dan pengalihan, yaitu di lokasi Cikande, Banten.</t>
  </si>
  <si>
    <t>-Pelaku Usaha mengajukan permohonan perubahan izin melalui BALIS untuk perubahan lokasi penyimpanan zat radioaktif (bunker) sesuai dengan lokasi sebenarnya di Cikande, Banten.&lt;br&gt;</t>
  </si>
  <si>
    <t>Alamat Lokasi Pemanfaatan sudah dirubah dengan KTUN 09516.613.3.040826</t>
  </si>
  <si>
    <t>Terdapat 5 (lima) Alat Radiologi Diagnostik Dan Intervensional kondisi izin berlaku dalam kondisi rusak dan akan digunakan kembali:
 1. Philips MobileDiagnost wDR (PRP) tipe tabung E7886, no. seri tabung 8F0144
 2. GE Tomosynthesis Senoclaire (PRP) tipe tabung Appolon (5145113), no. seri tabung 154383TX4
 3. Fujifilm DR-XD 1000 (FDR Nano) (PRP) tipe tabung D125-SB, no. seri tabung B123170
 4. Villa Sistemi Medicali OPX/105 (PRP) tipe tabung OPX/105, no. seri tabung 621232
 5. GE Brivo OEC 785 (PRP) tipe tabung 110/3 DF, no. seri tabung 131326HL1</t>
  </si>
  <si>
    <t>Surat komitmen tindakan perbaikan jika akan digunakan kembaliSurat Permohonan Penetapan Penghentian SRP yang ditandatangani DirekturBerita Acara penanganan akhir pesawat sinar-X.Berita Acara penanganan akhir pesawat sinar-X.Surat Permohonan Penetapan Penghentian SRP yang ditandatangani DirekturSurat komitmen tindakan perbaikan jika akan digunakan kembali</t>
  </si>
  <si>
    <t>BLU RS Otak DR. Drs. M. Hatta Bukittinggi belum mengajukan perubahan izin untuk Pesawat Sinar-X CT Scan yang dilakukan pergantian tabung per 30 Juni 2026 dengan:
 a. Tabung yang lama (COMPUTED TOMOGRAPHY [CT - Scan], Merk Tabung: GE BE Private Limited, tipe Tabung Insersi: 5401074, Nomor Seri Tabung: 135192BA3, Lokasi Unit: Ruang CT Scan 
 b. diganti dengan tabung yang baru (Jenis Pesawat : COMPUTED TOMOGRAPHY [CT - Scan], Merek Tabung : GE Revolution Evo, tipe tabung insersi Tabung: 5401074, Nomor Seri Tabung Insersi: 136622BA8, Lokasi Unit: Ruang CT Scan 
 Tabung yang lama akan dikembalikan ke PT. GE sesuai dengan Berita Acara pergantian tabung sinar-X No. 082/GEAC/IND/XII/2026 tanggal 06 Juni 2026</t>
  </si>
  <si>
    <t>-BLU RS Otak DR. Drs. M. Hatta Bukittinggi harus mengajukan perubahan izin pesawat CT-Scan pada balis 2.5 dengan:&lt;br /&gt;
 a. Melakukan pengurangan sumber data Tabung yang lama (COMPUTED TOMOGRAPHY [CT - Scan], Merek Tabung: GE BE Private Limited, tipe Tabung Insersi: 5401074, Nomor Seri Tabung: 135192BA3, Lokasi Unit: Ruang CT Scan &lt;br /&gt;
 b. Menambahkan data tabung baru (Jenis Pesawat: COMPUTED TOMOGRAPHY [CT - Scan], Merek Tabung: GE Revolution Evo, tipe tabung insersi Tabung: 5401074, Nomor Seri Tabung Insersi: 136622BA8, Lokasi Unit: Ruang CT Scan &lt;br /&gt;
 &lt;br /&gt;
 Untuk menutup temuan agar mengunggah izin baru yang mencantumkan data tabung CT Scan baru ke dalam sistem Balis Infara (https://balis-infara.bapeten.go.id) sebagai bukti tindak lanjut hasil inspeksi.&lt;br&gt;</t>
  </si>
  <si>
    <t>Temuan 3.01.04 Point 1a: Pengurangan SRP CT-Scan dengan nomor seri 135192BA3 sudah dilakukan dan KTUN telah keluar dengan nomor : 09064.608.3.270726Temuan 3.01.04 Point 1b: Penambahan Tabung CT-Scan SN 136622BA8 sudah dilakukan dan KTUN sudah keluar dengan nomor : 08944.608.3.240726</t>
  </si>
  <si>
    <t>Zat Radioaktif : Co-57, Tipe : FeatherLite, No Seri : 2358-115, kondisi tidak digunakan karena aktivitas sudah tidak sesuai, izin masih berlaku sampai dengan 17 Juli 2028</t>
  </si>
  <si>
    <t>Dari hasil temuan inspeksi lapangan di RSUP Dr. M. Djamil Padang :
 1. Terdapat 1 alat RADIOGRAFI UMUM [Mobile], DR-GEM Radiographic X-Ray System, tipe tabung Mobile TOPAZ, No seri tabung 40DDRR2040258AM2004231, izin berlaku, dalam keadaan rusak.
 2. RSUP Dr. M. Djamil Padang belum mengajukan perubahan izin untuk Pesawat Sinar-X Fluoroskopi yang dilakukan pergantian tabung per 04 juni 2026 dengan:
 a. Tabung yang lama (Pesawat Sinar-X Fluoroskopi (C-arm Angiografi) Philips XPer FD20 2058, tipe tabung MRC 200 0407 ROT-GS 1004, No seri tabung 199444
 diganti dengan tabung yang baru (Jenis Pesawat : FLUOROSKOPI [C-Arm] Merek Tabung : Philips Model Tabung : MRC2000407 Nomor Seri Tabung : 412907)
 b. Tabung yang lama telah dikembalikan ke PT. Philips sesuai dengan Berita Acara pergantian tabung x-Ray tanggal 04 Juni 2026</t>
  </si>
  <si>
    <t>Terdapat 1 (satu) unit mesin x-ray yang sudah dilakukan pergantian tabung namun belum dilakukan perubahan data tabung pada KTUN. Data tabung baru
 a. Merk: Siemens
 b. Tipe: Ceramic X-ray Tube
 c. Nomor seri: 545433</t>
  </si>
  <si>
    <t>Dalam Proses pengajuan perubahanTABUNG XRAY BARU (XRD) no seri 545433 sudah terdaftar dengan memiliki kode sumber 0170641. Pengurangan SRP yang tidak aktif dengan kode sumber 0099471 belum dapat dilakukan terkendala di sistem balis terdapat keterangan KTUN dalam proses perubahan. (Mohon bantuannya untuk prosedur pengurangan SRP ini)</t>
  </si>
  <si>
    <t>Terdapat 2 (dua) pesawat sinar-x dalam kondisi rusak, dengan data sebagai berikut:
 a. Merk GE, tipe tabung E7240, nomor seri tabung insersi 7J030
 b. Merk GE, tipe tabung E7894, nomor seri tabung insersi 0G1492</t>
  </si>
  <si>
    <t>Zkteco Security Indonesia</t>
  </si>
  <si>
    <t>Komplek Pergudangan Elang Laut Tahap III Sentra Industri Terpadu Blok A1 No. 1 Kamal Muara, Penjaringan</t>
  </si>
  <si>
    <t>Komplek Pergudangan Elang Laut Tahap III Sentra Industri Terpadu Blok A1 No. 1 Kamal Muara, Penjaringan,Jakarta Utara,DKI Jakarta</t>
  </si>
  <si>
    <t>00207.01.11747.14.1.0726</t>
  </si>
  <si>
    <t>Pelaku usaha sudah tidak melakukan kegiatan usaha pengalihan pembangkit radiasi pengion (PRP) sejak 3 (tiga) tahun terakhir, dan tidak ada rencana kegiatan pengalihan PRP lagi.</t>
  </si>
  <si>
    <t>-Pelaku Usaha agar mengurangi data sumber radiasi pengion dalam izin nomor 10759.492.1.261023 dengan mengajukan permohonan pengurangan sumber radiasi pengion melalui Balis Perizinan.&lt;br /&gt;
 &lt;br /&gt;
 Untuk menutup temuan tersebut, unggah bukti berupa dokumen KTUN perubahan ijin melalui menu TLHI (Tindak Lanjut Hasil Inspeksi) di Sistem Balis Infara (https://balis-infara.bapeten.go.id) sebagai bukti tindak lanjut hasil inspeksi.&lt;br&gt;</t>
  </si>
  <si>
    <t>Terdapat satu unit pesawat sinar-X Simulator merek Shinva tipe SL-IE nomor seri S706 sebagai penunjang radioterapi 2D yang telah rusak (tidak dapat diperbaiki) dan tidak digunakan.</t>
  </si>
  <si>
    <t>-Pelaku Usaha agar mengajukan permohonan pengurangan pembangkit radiasi pengion melalui Balis perijinan dengan melampirkan berita acara penanganan akhir pembangkit radiasi pengion yang tidak digunakan tersebut.&lt;br /&gt;
 &lt;br /&gt;
 Untuk menutup temuan tersebut, unggah bukti permohonan tersebut melalui menu TLHI (Tindak Lanjut Hasil Inspeksi) di Sistem Balis Infara (https://balis-infara.bapeten.go.id) sebagai bukti tindak lanjut hasil inspeksi.&lt;br&gt;</t>
  </si>
  <si>
    <t>PT. Enseval Medika Prima</t>
  </si>
  <si>
    <t>Gudang PT. Enseval, Jl. Rawa Gelam IV no. 6 - Kawasan Industri Pulogadung</t>
  </si>
  <si>
    <t>Gudang PT. Enseval, Jl. Rawa Gelam IV no. 6 - Kawasan Industri Pulogadung ,Jakarta Timur,DKI Jakarta</t>
  </si>
  <si>
    <t>00203.01.06415.14.1.0726</t>
  </si>
  <si>
    <t>Terdapat perbedaan informasi data PRP (jumlah, merk, tipe, dan lokasi pemanfaatan) antara Sistem Balis dengan data Instansi.</t>
  </si>
  <si>
    <t>-PT. Enseval Medika Prima segera memberikan konfirmasi dan menyusun laporan neraca impor dan pengalihan PRP aktual. &lt;br /&gt;
 &lt;br /&gt;
 Untuk menutup temuan, unggah laporan neraca tersebut pada menu TLHI (Tindak Lanjut Hasil Inspeksi) Balis Infara (https://balis-infara.bapeten.go.id) sebagai bukti tindak lanjut hasil inspeksi.&lt;br&gt;</t>
  </si>
  <si>
    <t>PT. Enseval Medika Prima telah melakukan penyusunan Laporan Neraca Sumber Radiasi Pengion sebagai tindak lanjut atas hasil inspeksi BAPETEN terkait adanya perbedaan informasi data Sumber Radiasi Pengion (jumlah, merek, tipe, dan lokasi pemanfaatan) antara Sistem Balis dengan data Instansi. Laporan Neraca Sumber Radiasi Pengion disusun berdasarkan data aktual terkait impor dan pengalihan Sumber Radiasi Pengion yang dimiliki oleh PT. Enseval Medika Prima sebagai bentuk konfirmasi terhadap rekomendasi hasil inspeksi. Laporan tersebut terlampir sebagai data dukung tindak lanjut dan diunggah pada Sistem Balis.</t>
  </si>
  <si>
    <t>KMI Wire and Cable, Tbk.</t>
  </si>
  <si>
    <t>Jl. Raya Bekasi Km. 23,1 Cakung</t>
  </si>
  <si>
    <t>Jl. Raya Bekasi Km. 23,1 Cakung,Jakarta Timur,DKI Jakarta</t>
  </si>
  <si>
    <t>00200.01.08570.08.1.0726</t>
  </si>
  <si>
    <t>Terdapat 3 KTUN dalam Sistem Balis dengan dengan nomor 029288.3.158.00000.200215, 055634.021.11.080921, dan 12125.390.1.271123, namun di lokasi pelaksanaan inspeksi hanya ditemukan 1 PRP dengan Merk Sikora, Tipe Unit: X-ray 8000 NXT, No. Seri Unit: 16273/1098-1114, Kond. Maks.: 75 kV-2 mA, Tipe Tabung : TXLL8-070A05, No. Seri Tabung: 309015 dan 309053.</t>
  </si>
  <si>
    <t>-PT. KMI Wire and Cable, Tbk. segera menyusun Surat Pernyataan yang menyebutkan bahwa PRP yang dimiliki hanya 1 dengan Merk Sikora, Tipe Unit: X-ray 8000 NXT, No. Seri Unit: 16273/1098-1114, Kond. Maks.: 75 kV-2 mA, Tipe Tabung : TXLL8-070A05, No. Seri Tabung: 309015 dan 309053. &lt;br /&gt;
 &lt;br /&gt;
 Untuk menutup temuan, unggah Surat Pernyataan tersebut pada menu TLHI (Tindak Lanjut Hasil Inspeksi) Balis Infara (https://balis-infara.bapeten.go.id) sebagai bukti tindak lanjut hasil inspeksi.&lt;br&gt;</t>
  </si>
  <si>
    <t>Terdapat 14 PRP (dari total 17 PRP) yang berdasarkan KTUN masih menjadi tanggungjawab Global Arrow, namun berdasarkan hasil inspeksi yang dilaksanakan, PRP tersebut sudah selesai kontrak, tidak berada di Global Arrow dan telah dikembalikan kepada pemiliknya yaitu PT Senjaya Solusi Sekurindo.</t>
  </si>
  <si>
    <t>UOB Property</t>
  </si>
  <si>
    <t>UOB Plaza, Lantai 35, Unit 3, Jl. M.H Thamrin Nomor 10, Desa/Kelurahan Kebon Melati, Kec. Tanah Abang</t>
  </si>
  <si>
    <t>UOB Plaza, Lantai 35, Unit 3, Jl. M.H Thamrin Nomor 10, Desa/Kelurahan Kebon Melati, Kec. Tanah Abang,Jakarta Pusat,DKI Jakarta</t>
  </si>
  <si>
    <t>00196.01.16401.20.1.0726</t>
  </si>
  <si>
    <t>Terdapat 1 PRP Merk Smiths Detection, Tipe Unit: HI-SCAN 6040C, No. Seri Unit: 203991, Kond. Maks.: 160 kV-160 mA, Tipe Tabung: HI-RAY 10, No. Seri Tabung: 124167 dalam Sistem Balis dengan Master ID: 25.1.0180637, namun tidak ditemukan di lokasi inspeksi.</t>
  </si>
  <si>
    <t>-UOB Property segera menyusun Surat Pernyataan yang menyebutkan bahwa PRP dengan spesifikasi teknis tersebut bukan milik UOB Property.&lt;br /&gt;
 &lt;br /&gt;
 Untuk menutup temuan, unggah Surat Pernyataan pada menu TLHI (Tindak Lanjut Hasil Inspeksi) Balis Infara (https://balis-infara.bapeten.go.id) sebagai bukti tindak lanjut hasil inspeksi.&lt;br /&gt;
 &lt;br&gt;</t>
  </si>
  <si>
    <t>Terdapat pesawat sinar-x milik PT. Professtama Tehnik Cemerlang Merk Smart Detection tipe SmartScan 5030 yang disimpan di PT. Sampoerna Land</t>
  </si>
  <si>
    <t>Data sumber radiasi tidak sesuai 
 - Hotel Ritz Carlton menyewa pesawat sinar-x dari PT. Senjaya Solusi Sekurindo sejak tanggal 4 Agustus 2026 yaitu alat 
  Smiths Detection Tipe HS6040C nomor seri 151977. 
 - Berdasarkan data balis alat Smiths Detection Tipe HS-6040C nomor seri 151977 tercantum dalam izin Global Arrow No. 08691.403.3.190824 dengan Lokasi Pemanfaatan PT Global Arrow, Gedung BEI Tower 2 Lt. 17.</t>
  </si>
  <si>
    <t>1. Kami sudah mengirim email penonaktifan sinar X dengan type smith detector HS 5030si dengan sereal number 83938 kepada aamat email difrzr@bapeten.go.id
 2. Kami sudah melakukan penelusuran kepada pihak internal ataupun external (vendor) mengenai keberadaan sinar X dengan type smith detector HS 5030si dengan sereal number 83938 bahwa sinar X tersebut tidak ditemukan maka dari itu kami meminta kepada pihak BAPETEN untuk menonaktifkan penggunaan sinar X tersebut.
 3. Kami sudah melakukan komunikasi dengan PT. Senjaya dan menyatakan bahwa mesin yang kami sewa saat ini sebelumnya disewakan oleh PT. Senjaya kepada Global Arrow dan akan dilampirkan bukti pernyataan dari pihak Senjaya</t>
  </si>
  <si>
    <t>03.01.07</t>
  </si>
  <si>
    <t>Lokasi dan /atau Nama instansi tidak sesuai dengan data izin</t>
  </si>
  <si>
    <t>Pelaku Usaha memiliki 21 SRP yang berada di 19 lokasi pemanfaatan, kondisi ini berbeda dengan lokasi yang tercantum dalam KTUN izin. Untuk lokasi pelaksanaan inspeksi, hanya terdapat 2 SRP di lokasi.</t>
  </si>
  <si>
    <t>TNT Skypak International Express</t>
  </si>
  <si>
    <t>Jalan Jend. Sudirman Kav. I No. 61-62, Gedung Summitmas I Lantai 21, Senayan, Kebayoran Baru</t>
  </si>
  <si>
    <t>Jalan Jend. Sudirman Kav. I No. 61-62, Gedung Summitmas I Lantai 21, Senayan, Kebayoran Baru,Jakarta Selatan,DKI Jakarta</t>
  </si>
  <si>
    <t>00206.01.08149.20.1.0726</t>
  </si>
  <si>
    <t>PT. TNT Skypak International Express telah diakuisisi oleh PT. Fedex Express International pada tahun 2022, namun masih terdapat 1 unit pembangkit radiasi pengion, merk: Rapiscan, type: 627XR, no. seri: Q7324 yang sudah rusak dan tidak digunakan lagi (posisi telah disimpan di Batam, izin masih atas nama PT. TNT Skypak International Express) 
 izin baru sudah ada atas nama PT. FedEx Express International, dengang No. Izin. 12528.403.1.051223 masih berlaku dan alat digunakan di lokasi yang diinspeksi: Jalan Profesor Sedyatmo, Pagedangan, Blok A Lot 5-6, Benda RT.001/RW.010, Taman Niaga Soewarma, Kota Tangerang, Banten</t>
  </si>
  <si>
    <t>-Pelaku Usaha agar mengajukan permohonan penonaktifan pembangkit radiasi pengion, merk: Rapiscan, type: 627XR, no. seri: Q7324 melalui email resmi ke difrzr@bapeten.go.id dengan melampirkan berita acara penanganan akhir pembangkit radiasi pengion yang tidak digunakan tersebut.&lt;br /&gt;
 &lt;br /&gt;
 Untuk menutup temuan tersebut, unggah bukti pengiriman email tersebut melalui menu TLHI (Tindak Lanjut Hasil Inspeksi) di Sistem Balis Infara (https://balis-infara.bapeten.go.id) sebagai bukti tindak lanjut hasil inspeksi.&lt;br&gt;</t>
  </si>
  <si>
    <t>Lokasi dan /atau Nama instansi tidak sesuai dengan data izin. Lokasi bunker saat ini adalah di Jl. Bunga Ester Gang Samosir No. 14 Kel. Padangbulan Selayang 2, Kec. Medan Selayang, Kota Medan Sumatera Utara 20131, sehingga perlu ditambahkan lokasi pemanfaatan di Jl. Bunga Ester Gang Samosir.</t>
  </si>
  <si>
    <t>Sudah di ajukan permohonan perubahan lokasi dengan menambahkan lokasi bunker Jl. Bunga Ester Gang Samosir No. 14 Kel. Padangbulan Selayang 2, Kec. Medan Selayang, Kota Medan Sumatera Utara 20131</t>
  </si>
  <si>
    <t>Boart Longyear</t>
  </si>
  <si>
    <t>TRAVOY HUB Taman Mini, unit L1-03, Jl. Taman Mini I, Pinang Ranti, Kec. Makasar, Kota Jakarta Timur, Daerah Khusus Ibukota Jakarta</t>
  </si>
  <si>
    <t>TRAVOY HUB Taman Mini, unit L1-03, Jl. Taman Mini I, Pinang Ranti, Kec. Makasar, Kota Jakarta Timur, Daerah Khusus Ibukota Jakarta,Jakarta Timur,DKI Jakarta</t>
  </si>
  <si>
    <t>00198.01.12195.14.1.0726</t>
  </si>
  <si>
    <t>Lokasi telah pindah ke TRAVOY HUB Taman Mini, unit L1-03, Jl. Taman Mini I, Pinang Ranti, Kec. Makasar, Kota Jakarta Timur, Daerah Khusus Ibukota Jakarta 13560.
 Tidak terdapat aktivitas pemanfaatan PRP dan PT Boart Longyear tidak akan melanjutkan bisnis di Indonesia, sehingga pelaku usaha akan mengajukan penghapusan akun Balis.</t>
  </si>
  <si>
    <t>-PT Boart Longyear segera menyusun Surat Pernyataan Penghentian Kegiatan dan mengajukan permohonan izin penghapusan akun Balis. &lt;br /&gt;
 &lt;br /&gt;
 Untuk menutup temuan, unggah surat permohonan penghapusan akun tersebut pada menu TLHI (Tindak Lanjut Hasil Inspeksi) Balis Infara (https://balis-infara.bapeten.go.id) sebagai bukti tindak lanjut hasil inspeksi.&lt;br&gt;</t>
  </si>
  <si>
    <t>Terdapat perbedaan alamat Pelaku Usaha dimana berdasarkan data KTUN beralamat di Gedung BEI Tower 2 Lt. 17, Jl. Jend. Sudirman Kav. 52-53, Senayan, Kebayoran Baru; Kota Jakarta Selatan; DKI Jakarta 12190; Telp. (021) 5207122 yang merupakan virtual office. Sedangkan alamat inspeksi dilaksanakan di Kantor Operasional di Jl. Mpu Sendok No. 34 Kebayoran Baru Jakarta Selatan, 12110.</t>
  </si>
  <si>
    <t>03.02.01</t>
  </si>
  <si>
    <t>Pekerja radiasi tidak sesuai dengan izin</t>
  </si>
  <si>
    <t>Terdapat pekerja radiasi yang belum tercantum dalam KTUN Rekomendasi Izin Radiologi Diagnostik, yaitu:
 a. Saifullah A Pandialang (Radiografer)
 b. Fivaldy A Karinda (Radiografer)
 Terdapat pekerja radiasi yang telah berhenti namun masih tercantum dalam KTUN Rekomendasi Izin Radiologi Diagnostik, yaitu:
 a. Nuriyah Fatimah (Radiografer) telah berhenti Agustus 2025</t>
  </si>
  <si>
    <t>-Rumah Sakit Bhayangkara Tk.III Manado mengajukan perubahan personil untuk:&lt;br /&gt;
 1. Menambahkan pekerja radiasi a.n. Saifullah A Pandialan dan Fivaldy A Karinda;&lt;br /&gt;
 2. Mengurangi pekerja radiasi a.n. Nuriyah Fatimah (Radiografer) yang telah keluar Agustus 2025.&lt;br /&gt;
 &lt;br /&gt;
 Unggah KTUN Rekomendasi Izin yang telah mencantumkan pekerja radiasi yang sesuai kondisi terkini pada menu TLHI (Tindak Lanjut Hasil Inspeksi) BALIS INFARA&lt;br /&gt;
 (https://balis-infara.bapeten.go.id) sebagai bukti tindak lanjut hasil inspeksi&lt;br /&gt;
 &lt;br&gt;</t>
  </si>
  <si>
    <t>Terdapat perubahan pekerja radiasi (17 Pekerja radiasi belum tercantum dalam KTUN Izin), yaitu:
 1) dr. Linda Maya Tompodung, M.Pd.Kes, Sp. Rad
 2) Ns. Andreas Kutika
 3) Dr. Vonny Tubagus, Sp. Rad
 4) Dr. Hendra Toreh, Sp. Rad Sub. Sep RI (K)
 5) Jecky JR Hahamu, A. Md. Kep
 6) Ns. Indra Pantouw, S. Kep
 7) Sionia Ines Paulina Tumbelaka, S. Tr. Kes 
 8) Rachel Monica Deovania Moningka, S. Tr. Kes
 9) Muh. Suryadi F, A. Md. Rad
 10) Muhammad Taufiq, A. Md. Rad
 11) Marcelino Lasut Pengmanan, A. Md. Kes
 12) Gabriel Daniel Elias, A. Md. Kes
 13) A Nur Khalilah A Damopolii, S. Tr. Kes
 14) Grace Elyanti Dame, S. Tr. Kes;
 15) dr. Andre A, Sp. JP;
 16) dr. Edmond J., Sp. JP;
 17) dr. Billy K., Sp. B;
 Pekerja radiasi telah berhenti namun belum dikeluarkan dari KTUN izin:
 1) Ns. Anita Nani, S. Kep (tidak bekerja di Fasilitas Radiologi);
 2) dr. Albertus Djarot Noersasongko, Sp. OT (keluar 2025);</t>
  </si>
  <si>
    <t>-RSUD ODSK Provinsi Sulawesi Utara mengajukan perubahan KTUN untuk:&lt;br /&gt;
 • menambahkan 17 (tujuh belas) pekerja radiasi baru dan;&lt;br /&gt;
 • mengurangi pekerja radiasi yang sudah berhenti atau keluar.&lt;br /&gt;
 &lt;br /&gt;
 Unggah KTUN yang telah mencantumkan nama pekerja radiasi yang sesuai dengan kondisi terkini pada menu TLHI (Tindak Lanjut Hasil Inspeksi) BALIS INFARA (https://balis-infara.bapeten.go.id) sebagai bukti tindak lanjut hasil inspeksi&lt;br /&gt;
 &lt;br&gt;</t>
  </si>
  <si>
    <t>Terdapat 3 pekerja radiasi yang tidak tercantum dalam KTUN rekomendasi izin atas nama :
 1. apt. Esther Karina Naomi Tandayu, S.Farm sebagai radiofarmasis
 2. dr. Arlene Angelina, M.Sc, Sp.KNTM sebagai dokter 
 3. Djunarto, S.Si</t>
  </si>
  <si>
    <t>-BLU RSUP. Prof. Dr. R.D. Kandou Manado segera melakukan proses perubahan KTUN rekomendasi izin lingkup Kedokteran nuklir dengan menyesuaikan data pekerja radiasi terbaru saat ini melalui BALIS Perizinan 2.5 dengan memenuhi persyaratan sesuai yang tertera dalam sistem.&lt;br /&gt;
 &lt;br /&gt;
 Unggah KTUN perubahan rekomendasi izin yang telah terbit dari Balis 2.5 yang sudah mencantumkan personel pekerja radiasi terbaru saat ini, melalui menu TLHI (Tindak Lanjut Hasil Inspeksi) di Sistem Balis Infara (https://balis-infara.bapeten.go.id) sebagai bukti tindak lanjut hasil inspeksi.&lt;br /&gt;
 &lt;br&gt;</t>
  </si>
  <si>
    <t>Terlampir Izin Terbaru Kedokteran Nuklir Kandou</t>
  </si>
  <si>
    <t>terdapat perubahan pekerja radiasi, yaitu:
 a. Pekerja radiasi baru belum tercantum dalam KTUN:
 1. Erni Daud
 2. Kristian Yospilando Mbao
 3. Lailatul Badriyah
 4. Ricky Ricardo Siauta
 5. Gitanomi Sembiring
 6. Makmur Yusuf
 7. Nurliska Muhammd
 8. Efranisius Kanga
 9. I Wayan Darma Saputra
 10. Irfani Taher
 11. Stenly John Tangkilisan
 12. Ronald Nofri Ganda
 13. Muhammad Rizali Lamuke
 14. Dwi Rahmat Romadhan Mustaking
 15. I Ketut Surte Nate Wijaya
 16. I Komang Tri Gunawan, A.Md.Rad
 17. Marcelino Lasut Pangemanan
 18. Alce Panese
 19. Suci Ramanda Sari
 20. Lucyana Patriana Dewi Nicolaas
 21. Djonlie Wem Siwi
 22. Indra Putra Pantouw, S.Kep
 23. Deny Lendy Oroh
 24. Jouly Yohanes Tiwa
 25. Alvi Sengkey
 26. Fredy Royke Karel Supit
 27. Dr. Vonny Tubagus. Sp. Rad
 28. Dr. Meinevie S
 29. Rondonuwu Sp.Rad
 30. Dr. Bobby F Paat Sp.Rad
 31. Dr. Alfa G.E.Y Rondo Sp.Rad
 32. Dr. Andre Ulaan Sp.Rad
 33. Dr. Ariel E Mongan Sp.Rad
 34. Dr. Martin L Simanjuntak. Sp.Rad
 35. dr.Teddy Marzuki Sp.rad
 36. Muh Setiawan A Kasogi usman
 37. Anisa Yekti Indah Palupi S.Si
 38. Fadhillah S Panu Amd.Kes</t>
  </si>
  <si>
    <t>-BLU RSUP. Prof. Dr. R.D. Kandou Manado Fasilitas Radiologi Diagnostik dan Intervensional mengajukan perubahan KTUN izin untuk: menambahkan 38 (tiga puluh delapan) pekerja radiasi baru.&lt;br /&gt;
 Untuk menutup temuan, unggah KTUN izin yang telah mencantumkan nama pekerja radiasi yang sesuai dengan kondisi terkini pada menu TLHI (Tindak Lanjut Hasil Inspeksi) BALIS INFARA (https://balis-infara.bapeten.go.id) sebagai bukti tindak lanjut hasil inspeks&lt;br&gt;</t>
  </si>
  <si>
    <t>Terdapat perubahan pekerja radiasi, yaitu:
 a. 2 (dua) orang pekerja radiasi baru belum tercantum dalam KTUN rekomendasi izin, atas nama:
 1. Dhedewi Pambukaning Rahmatullah (PPR)
 2. Nirmala Nur Mahayuningtyas (Radioterapis)
 b. 2 (dua) pekerja radiasi yang tidak bekerja lagi di Fasilitas Radioterapi namun belum dihapus dari KTUN rekomendasi izin, atas nama
 1. I Nengah Suantara (PPR)
 2. Mohammad Setiawan Kasogi Usman (Radioterapis)</t>
  </si>
  <si>
    <t>-Pelaku usaha segera melakukan perubahan KTUN rekomendasi izin lingkup Radioterapi dengan menyesuaikan data pekerja radiasi terbaru saat ini melalui BALIS Perizinan 2.5 dengan memenuhi persyaratan sesuai yang tertera dalam sistem.&lt;br /&gt;
 &lt;br /&gt;
 Unggah KTUN perubahan rekomendasi izin yang telah terbit dari BALIS 2.5 yang sudah mencantumkan personel pekerja radiasi terbaru saat ini, melalui menu TLHI (Tindak Lanjut Hasil Inspeksi) di Sistem BALIS INFARA (https://balis-infara.bapeten.go.id) sebagai bukti tindak lanjut hasil inspeksi.&lt;br /&gt;
 &lt;br&gt;</t>
  </si>
  <si>
    <t>Menindaklanjuti rekomendasi hasil inspeksi yang menyatakan bahwa pelaku usaha agar segera melakukan perubahan KTUN rekomendasi izin lingkup Radioterapi dengan menyesuaikan data pekerja radiasi terbaru melalui BALIS Perizinan 2.5, bersama ini kami sampaikan bahwa perubahan KTUN dimaksud telah dilaksanakan.</t>
  </si>
  <si>
    <t>Terdapat 35 (tiga puluh lima) orang pekerja radiasi baru belum tercantum dalam KTUN rekomendasi izin, atas nama :
 1.Annisa
 2.Mohammad Syarif Mokoginta
 3.Sonia Gloria Manangkalangi
 4.Nasyila
 5.Melania Siregar
 6.Imelda Suratinoyo
 7.Maychel Mangague
 8.Ratna Tuwone
 9.Evart Simon Manoj
 10.Alfidolf N Ompi 
 11.Christy Indria Pertama
 12.AdrianNoldi Tangkilisin
 13.Andre Eriksan Balaesi
 14,Andriano Swingly Papilaja
 15.Oktavianus Karapa Ramme
 16.Oktavia Meita Komaling
 17.Gabriela M Mamuaya
 18.Betty Fery Palelalu
 19.Julia Potu
 20.Armando Alfa
 21.Reimon Kuwo
 22.Asry manengkey
 23.Dr. Rangga Bayu Valentino
 24.Grace jauhari
 25.Monica Ruth Sewow
 26.Rangga Runtu Kondoj
 27.Nur Mutiara Dunggio
 28.Alicia Marlin Kaparang
 29.Putri Anggiani Sambenthiro
 30.Amelia Magdalena kawengian
 31.Dr. Haryanto Karmansyah
 32.Alfa Stiliando Kuhu
 33.Christian Fedro Doaly
 34.Toar Turangan
 35.Febry Kotel
 Pekerja radiasi telah berhenti namun belum dikeluarkan dari KTUN izin: Johhny Latul (telah berhenti sejak tahun 2025 sebagai radiografer digantikan oleh Annisa)</t>
  </si>
  <si>
    <t>-Siloam Hospitals Manado mengajukan perubahan KTUN untuk: &lt;br /&gt;
 • menambahkan 35 (tiga puluh lima) pekerja radiasi baru dan; &lt;br /&gt;
 • mengurangi pekerja radiasi yang sudah berhenti atau keluar. &lt;br /&gt;
  &lt;br /&gt;
 Unggah KTUN yang telah mencantumkan nama pekerja radiasi yang sesuai dengan kondisi terkini pada menu TLHI (Tindak Lanjut Hasil Inspeksi) BALIS INFARA (https://balis-infara.bapeten.go.id) sebagai bukti tindak lanjut hasil inspeksi &lt;br /&gt;
 &lt;br&gt;</t>
  </si>
  <si>
    <t>Terdapat Pekerja radiasi baru a.n. Muh Rusli, Alfiatun Ekasari, Irmawati H, Nurfausiah J, Nurjani, St Nurfitriani, Ayulestari Nengsih, Reni Agustina, Rahma Sri Rahayu, Wan Ihzha Hidayat, Sulkipli, Nirwna Basri, yang belum tercantum dalam KTUN Izin Pemanfaatan (sedang diajukan pada No. registrasi 109005.26) dan terdapat pekerja radiasi yang telah resign a.n. St. Hartina, S.Si</t>
  </si>
  <si>
    <t>-Pelaku usaha agar melakukan perubahan izin terkait pekerja radiasi sesuai dengan kondisi terkini.&lt;br /&gt;
 &lt;br /&gt;
 Unggah KTUN Perubahan Izin tersebut melalui menu TLHI (Tindak Lanjut Hasil Inspeksi) di Sistem Balis Infara (https://balis-infara.bapeten.go.id) sebagai bukti tindak lanjut hasil inspeksi.&lt;br /&gt;
 &lt;br&gt;</t>
  </si>
  <si>
    <t>Pekerja Radiasi Sesuai dengan izin</t>
  </si>
  <si>
    <t>1. Pekerja radiasi Muhammad Ikhwan, S.Si, Khusnul Khotimah, Illan Detic sudah tidak bekerja lagi di fasilitas. 
 2. Pekerja radiasi dr. Darayani Dina, Sp. Rad, M. Fiqi Rifaldi Sugeha, S.Tr.Kes, Sulistiawati Ramadhani R, A.Md.Kes, Muhnal Syafitra, S.Tr.Kes, Ainun Anniza Jamal, S.Tr.Kes (Rad), Azizah Anniza Jamal, S.Tr.Kes (Rad), Zulkifli Arman, A.Md.Rad, Nur Rahma, S.Tr.Kes (Rad), Imara Indira, A.Md.Kes, Fikhi Al-Qorijal Maliki, A.Md.Kes (Rad), Dina Mia Pangestika, A.Md.Kes (Rad), Faradina Zahra, A.Md.Kes (Rad), Mia Sumiyati Nugraha, A.Md .Kes, Novyanti Auliya Hasmar, S.Tr.Kes, Muh. Iswan S, A.Md.Kep belum tercantum dalam KTUN Izin Pemanfaatan.</t>
  </si>
  <si>
    <t>-Pihak Instansi agar melakukan perubahan izin terkait pekerja radiasi sesuai dengan kondisi terkini.&lt;br /&gt;
 &lt;br /&gt;
 Unggah KTUN Perubahan Izin tersebut melalui menu TLHI (Tindak Lanjut Hasil Inspeksi) di Sistem Balis Infara (https://balis-infara.bapeten.go.id) sebagai bukti tindak lanjut hasil inspeksi.&lt;br /&gt;
 &lt;br&gt;</t>
  </si>
  <si>
    <t>KTUN Izin Operasional Radiologi Diagnostik &amp; Intervensional RSUP Makassar 30 Juni 2026</t>
  </si>
  <si>
    <t>1. Pekerja radiasi yaitu: Juanda, S.Si, Okto Nuzula Rahman sudah tidak bekerja lagi di fasilitas.
 2. Pekerja radiasi yaitu: Nurul Fatimah Maharani, Riesta Jaika Putri , Salsabila, Sri Dewi Tahir, dr. Irma Yani Umar, Sp. Rad. , Muh. Fahriady Salam (PPR), Abd. Azis (PPR), Nursyamsi, Bunga Te'ne, Gregorius John, Khaula Zakiah, S.Tr.Kes, Fajar Arfah, Akram Batjo, S.Tr.Kep, Sutiadi, S.Kep., Ners, Abd Rahman, Amiruddin, S.ST, Amriyadi, AMK, dr. Ahmad Syukri, Sp.JP, dr. Halim, Sp.An, dr. Iswahyudi, Sp. OT, dr. Nur Rahmansyah, Sp. OT, dr. Shiddiq, Sp.BTKV, dr. Taufik Anshori, Sp. An, Harianto Burhanuddin, A.Md, Maskur, Muhammad Akhyar, A.Md. Kep, Muhammad Darwin, Muhammad Nursam S.Kep., Ns, Nuraidin, Sulaiman, Syahruddin, A.Md.An. S.Kep, Wahyuddin, S.Kep, Muhammad Ashad, dr. Andi Firman Mubarak, Dr. dr. Nasrullah, Sp.BS, dr. Mohamad Asri Abidin, Sp.OT, Ikbal, dr. Ahmadi Alwi, Sp.B, Baheriah , Dhea Nur Fariza Izzati, Muhammad Fariz Ardiyansyah, dan Suwandi belum tercantum dalam KTUN Izin Pemanfaatan.</t>
  </si>
  <si>
    <t>Permohonan Perizinan PerubahanHasil Peniliana Bapeten RSUP Dr. Tadjuddin Chalid Makassar</t>
  </si>
  <si>
    <t>Terdapat penambahan radiografer baru atas nama Ahmad Wahidin yang akan menggantikan Ulil Amrizal</t>
  </si>
  <si>
    <t>-Pelaku Usaha agar melakukan perubahan data pekerja radiasi pada KTUN rekomendasi izin melalui sistem Balis 2.5 hingga terbit perubahan rekomendasi izinnya.&lt;br /&gt;
 &lt;br /&gt;
 Untuk menutup temuan, unggah KTUN perubahan rekomendasi izin yang telah menyesuaikan data pekerja radiasi terbaru saat ini melalui menu TLHI (Tindak Lanjut Hasil Inspeksi) di Sistem Balis Infara (https://balis-infara.bapeten.go.id) sebagai bukti tindak lanjut hasil inspeksi.&lt;br&gt;</t>
  </si>
  <si>
    <t>1. Perubahan data personil atas nama Achmad Wahidin (Baru Oktober 2025) sudah terlampir dokumen daftar pemakaian TLD Badge tetapi belum ada hasil zero check dan hasil evaluasi dari BPFK Jakarta.
 2.Perubahan atau penambahan data personil atas nama dr. Tommy Alexander, Sp.JP (Baru) sedang proses pengajuan zero check dari BRIN Tangerang Banten.KTUN Perubahan revisi hasil inspeksi BAPETEN 2026</t>
  </si>
  <si>
    <t>Terdapat pekerja radiasi yang belum tercantum dalam izin gauging atas nama berikut:
 1. Bayu Suranto
 2. Daviet Riyanto
 3. Humaidi
 4. Dede Himandika
 5. Gusti
 Terdapat pekerja radiasi yang belum tercantum dalam izin analisis atas nama berikut:
 1. Nanda Puska Ria
 2. Kelvin Rizki Pratama
 3. Randy Ramadhan
 4. Iman Syah
 5. Sayyidius Dzaki Abrori
 Terdapat 3 pekerja radiasi yang sudah keluar atau pindah atas nama berikut:
 1. Nuzul Hadi (mengundurkan diri)
 2. Muhammad Zikri Al Fahrabi (pindah divisi)
 3. Albert Sembiring (mengundurkan diri)</t>
  </si>
  <si>
    <t>Data Penambahan Pekerja Radiasi Gauging</t>
  </si>
  <si>
    <t>Terdapat pekerja radiasi yang masih tercantum dalam izin pemanfaatan, namun pekerja radiasi tersebut sudah resign, yaitu:
 a. Nelly Prasetiawati Rahayu - resign sejak Agustus 2026
 b. Barorotul Mabruroh - resign sejak November 2026
 c. Lili Julia Rahmat, S.ST., M.Kes - resign per Desember 2025
 Terdapat pekerja radiasi yang belum tercantum dalam izin pemanfaatan yaitu:
 a. Aditya Irfan Julianto 
 b. Fazri Shidiki Pratama 
 c. beberapa pekerja radiasi dengan status tenaga harian lepas</t>
  </si>
  <si>
    <t>-RSHS segera melakukan permohonan perubahan Rekomendasi Izin (Perubahan Data Pekerja Radiasi). &lt;br /&gt;
 &lt;br /&gt;
 Untuk menutup temuan, unggah KTUN perubahan Rekomendasi Izin tersebut pada menu TLHI (Tindak Lanjut Hasil Inspeksi) Balis Infara (https://balis-infara.bapeten.go.id) sebagai bukti tindak lanjut hasil inspeksi.&lt;br&gt;</t>
  </si>
  <si>
    <t>1. Menambahkan Hamzah Rian Kusriana, Fazri Shidki Pratama. Fauzan Fauzaky, Aditya Irfan Julianto, Haris Hadiawan.
 2. Mengurangi Lili Julia Rahmat, dr Gustiara Munir, Sp.Rad (K). Nelly dan Barorotul</t>
  </si>
  <si>
    <t>1. Terdapat 5 (lima) pekerja radiasi yang belum tercantum dalam izin pemanfaatan, yaitu: 
 - Aulia Anisa Hasibuan (Radioterapis) dan Reza Andika Wijaya (Radioterapis) - mulai bekerja Maret 2025
 - Aninda Fitriandini (Fisikawan Medis Level 8/Konsultan) - mulai bekerja November 2025
 - Rani Anggraini (Teknisi Elektromedis) - mulai bekerja April 2025
 - Moch. Afha Aslam Shikh (Petugas Keamanan)
 2. KTUN No. 03525.604.3.010426 belum tercantum personel dengan keahlian Teknisi Elektromedis.</t>
  </si>
  <si>
    <t>-Pelaku Usaha segera melakukan permohonan perubahan izin. &lt;br /&gt;
 &lt;br /&gt;
 Untuk menutup temuan, unggah KTUN perubahan rekomendasi izin pada menu TLHI (Tindak Lanjut Hasil Inspeksi) Balis Infara (https://balis-infara.bapeten.go.id) sebagai bukti tindak lanjut hasil inspeksi.&lt;br&gt;</t>
  </si>
  <si>
    <t>Prose upload data penambahan pekerja radiasi masih dalam proses dan menungu verifikasi dari BAPETENKTUN 2026</t>
  </si>
  <si>
    <t>Pindad Medika Utama</t>
  </si>
  <si>
    <t>Jl. Jend. Gatot Subroto No. 517 RT. 007 RW. 011, Sukapura, Kiaracondong</t>
  </si>
  <si>
    <t>Jl. Jend. Gatot Subroto No. 517 RT. 007 RW. 011, Sukapura, Kiaracondong,Bandung,Jawa Barat</t>
  </si>
  <si>
    <t>00093.01.13029.01.1.0526</t>
  </si>
  <si>
    <t>Terdapat pekerja radiasi baru atas nama Bunga Sonia Rahim sejak Maret 2026. Saat ini dalam proses pengajuan perubahan izin.
 Petugas yang diperbolehkan mengoperasikan Sumber Radiasi Pengion adalah yang tercantum dalam Rekomendasi atau Izin dan memiliki kualifikasi sesuai dengan peraturan perundang- undangan</t>
  </si>
  <si>
    <t>-Pelaku Usaha segera melakukan permohonan perubahan Rekomendasi Izin. &lt;br /&gt;
 &lt;br /&gt;
 Untuk menutup temuan, unggah KTUN perubahan Rekomendasi Izin tersebut pada menu TLHI (Tindak Lanjut Hasil Inspeksi) Balis Infara (https://balis-infara.bapeten.go.id) sebagai bukti tindak lanjut hasil inspeksi.&lt;br&gt;</t>
  </si>
  <si>
    <t>Telah dilakukan perbaharuan izin KTUN penambahan personil atas nama Bunga Sonia</t>
  </si>
  <si>
    <t>Terdapat Pekerja radiasi atas nama Yuni Susilawati tidak lagi bekerja sebagai pekerja radiasi sejak Januari 2026
 Terdapat Perkerja radiasi baru atas nama Marlysa Helda Wahyuni (perawat Cathlab) yang belum tercantum dalam izin</t>
  </si>
  <si>
    <t>-RS Santo Borromeus segera melakukan permohonan perubahan Rekomendasi Izin (Perubahan Data Pekerja Radiasi). &lt;br /&gt;
 &lt;br /&gt;
 Untuk menutup temuan, unggah KTUN perubahan Rekomendasi Izin tersebut pada menu TLHI (Tindak Lanjut Hasil Inspeksi) Balis Infara (https://balis-infara.bapeten.go.id) sebagai bukti tindak lanjut hasil inspeksi.&lt;br&gt;</t>
  </si>
  <si>
    <t>terdapat perbedaan data pekerja radiasi dengan izin pemanfaatan yang dimiliki:
 a. Belum tercantum dalam KTUN izin: Najwa Berliana Rosa, Eko Wibowo</t>
  </si>
  <si>
    <t>-Pelaku usaha segera melakukan perubahan KTUN rekomendasi izin lingkup&lt;br /&gt;
 Analisis dengan menyesuaikan data pekerja radiasi terbaru saat ini melalui BALIS Perizinan 2.5 dengan memenuhi persyaratan sesuai yang tertera dalam sistem.&lt;br /&gt;
 &lt;br /&gt;
 Unggah KTUN perubahan rekomendasi izin yang telah terbit dari BALIS 2.5 yang sudah mencantumkan personel pekerja radiasi terbaru saat ini, melalui menu TLHI (Tindak Lanjut Hasil Inspeksi) di Sistem BALIS INFARA (https://balis-infara.bapeten.go.id) sebagai bukti tindak lanjut hasil inspeksi.&lt;br&gt;</t>
  </si>
  <si>
    <t>Perubahan KTUN terbaru perubahan personil</t>
  </si>
  <si>
    <t>terdapat pekerja radiasi yang sudah tidak bekerja di fasilitas lagi atas nama Farid Permana Sukirman, AMd. Rad</t>
  </si>
  <si>
    <t>-Laboratorium Klinik Kimia Farma cabang Garut agar segera mengajukan perubahan izin pemanfaatan untuk sublingkup RADIOLOGI DIAGNOSTIK DAN/ATAU INTERVENSIONAL untuk mengurangi data pekerja radiasi tersebut melalui Balis Perizinan 2.5 (https://balis.bapeten.go.id/frontend2/public/index.php) &lt;br /&gt;
 &lt;br /&gt;
 Unggah KTUN rekomendasi izin yang telah terbit dari BALIS 2.5 yang sudah mencantumkan data Pekerja radiasi terbaru melalui menu TLHI (Tindak Lanjut Hasil Inspeksi) di Sistem BALIS INFARA (https://balis-infara.bapeten.go.id) sebagai bukti tindak lanjut hasil inspeksi.&lt;br /&gt;
 &lt;br&gt;</t>
  </si>
  <si>
    <t>Berikut formulir permohonan pengurangan personel/pekerja radiasi an Farid Permana Sukirman</t>
  </si>
  <si>
    <t>terdapat perbedaan data pekerja radiasi:
 a. tercantum dalam KTUN namun sudah tidak bekerja di fasilitas: Deby Suryaman
 b. belum tercantum dalam KTUN: Hasanudin, S.Kep., Ners, Wahyu Purboyuwono, Erika Ayu Ningsih, Rima Septi Via Kusmawati, Okta Tri, Erika Dewi Anggraini, Dede Kuswanto, M Syahrul Maulana, Raihan Rofif, Alfi Hidayati, M. Surya Ibrahim, Fema Miranti, Viqi Aulia, Santi Lestari, Dwiki Ilham Prayogo, Yanti Riyanti, Sri Ningsih, Rismawati, Heryanto, Rohendi, Yoga Eka Prawira</t>
  </si>
  <si>
    <t>-BLU RS. Tk. II. 03.05.01. Dustira / Kesdam III Siliwangi agar segera mengajukan perubahan izin pemanfaatan untuk sublingkup RADIOLOGI DIAGNOSTIK DAN/ATAU INTERVENSIONAL untuk menyesuaikan data pekerja radiasi tersebut melalui Balis Perizinan 2.5 (https://balis.bapeten.go.id/frontend2/public/index.php) &lt;br /&gt;
 &lt;br /&gt;
 Unggah KTUN rekomendasi izin yang telah terbit dari BALIS 2.5 yang sudah menyesuaikan data Pekerja radiasi terbaru melalui menu TLHI (Tindak Lanjut Hasil Inspeksi) di Sistem BALIS INFARA (https://balis-infara.bapeten.go.id) sebagai bukti tindak lanjut hasil inspeksi.&lt;br&gt;</t>
  </si>
  <si>
    <t>terdapat perbedaan data pekerja radiasi:
 a. tercantum dalam KTUN namun sudah tidak bekerja di fasilitas dengan rincian: Syarifah Fauziyah, Enggar Tyasyono, Nurwulan Fatimah, Prof. Dr. dr. Yoyos Dias Ismiarto, Sp.OT (K), M.Kes, CCD, Annisa Puspitasari, Bidha Anita, Fajar Bakti Gemilang, Edra Nugraha
 b. belum tercantum dalam KTUN dengan rincian: Mochamad Ilyas Naufal Ramadhan, Satrian Taufik Nurdiansyah, Chikal Muhamad Alkan, Sofi Huril Alfiah, Irman Firmansah, Mulyani, Amd. Kep, Risan Nurhayati, Susila Wardaya, S.T., M.Si, Ahmad Hasnan, Muhammad Luthfi Khaerudin, Faisal Nur Rajab Sidik, Fani Khoerul Fazri, Dimas Saefulloh, Warsudin Arfajrasyid Ridho, Alifia Rafika Putri, Kartika, Daniel Muhammad Arifin Raspati</t>
  </si>
  <si>
    <t>-RSU. Santosa Hospital Bandung Central agar segera mengajukan perubahan izin pemanfaatan untuk sublingkup RADIOLOGI DIAGNOSTIK DAN/ATAU INTERVENSIONAL dan sublingkup Penggunaan yang Meliputi Radiologi Diagnostik untuk Pengukuran Densitas Tulang dan/atau Pesawat Gigi Intra Oral untuk menyesuaikan data pekerja radiasi tersebut melalui Balis Perizinan 2.5 (https://balis.bapeten.go.id/frontend2/public/index.php) &lt;br /&gt;
 &lt;br /&gt;
 Unggah KTUN rekomendasi izin yang telah terbit dari BALIS 2.5 yang sudah menyesuaikan data Pekerja radiasi terbaru melalui menu TLHI (Tindak Lanjut Hasil Inspeksi) di Sistem BALIS INFARA (https://balis-infara.bapeten.go.id) sebagai bukti tindak lanjut hasil inspeksi.&lt;br&gt;</t>
  </si>
  <si>
    <t>Santosa Hospital Bandung Central sudah melakukan pengajuan perubahan izin pemanfaatan untuk menyesuaikan data pekerja radiasi pada KTUN Dental Intra Oral.</t>
  </si>
  <si>
    <t>Terdapat pekerja radiasi baru a.n. Widyawati masuk sejak 2025 namun belum tercantum dalam izin.</t>
  </si>
  <si>
    <t>-Pelaku Usaha agar mengajukan perubahan izin melalui Balis 2.5 dengan melakukan penyesuaian personil dengan kondisi di fasilitas.&lt;br /&gt;
 &lt;br /&gt;
 Untuk menutup temuan, unggah bukti KTUN izin terbaru melalui menu TLHI (Tindak Lanjut Hasil Inspeksi) di Sistem Balis Infara (https://balis-infara.bapeten.go.id) sebagai bukti tindak lanjut hasil inspeksi.&lt;br&gt;</t>
  </si>
  <si>
    <t>ktun widya</t>
  </si>
  <si>
    <t>RS Tk. IV Batin Tikal Pangkal Pinang</t>
  </si>
  <si>
    <t>Jl. Ahmad Yani Dalam</t>
  </si>
  <si>
    <t>Jl. Ahmad Yani Dalam,Pangkal pinang,Kepulauan Bangka Belitung</t>
  </si>
  <si>
    <t>00118.01.15274.01.1.0526</t>
  </si>
  <si>
    <t>Terdapat personil di fasilitas yang belum masuk dalam KTUN izin:
 • dr. Darma Jupriadi Tampubolon
 • Ridho Hadi Nugraha
 • Nurhasanah</t>
  </si>
  <si>
    <t>KTUN izin Personil yang melampirkan:
 • dr. Darma Jupriadi Tampubolon Sp.Rad
 • Ridho Hadi Nugraha
 • Nurhasanah</t>
  </si>
  <si>
    <t>Pekerja radias a.n Eka Anita Sari sudah resign per Desember 2025
 Pekerja radiasi baru a.n Yunita belum masuk ke dalam KTUN</t>
  </si>
  <si>
    <t>-Pelaku Usaha agar melakukan perubahan izin melalui Balis 2.5 untuk menyesuaikan personil di izin dengan kondisi di lapangan.&lt;br /&gt;
 &lt;br /&gt;
 Untuk menutup temuan, unggah bukti berupa KTUN izin terbaru melalui menu TLHI (Tindak Lanjut Hasil Inspeksi) di Sistem Balis Infara (https://balis-infara.bapeten.go.id) sebagai bukti tindak lanjut hasil inspeksi.&lt;br&gt;</t>
  </si>
  <si>
    <t>KTUN Perubahan Personel</t>
  </si>
  <si>
    <t>Mega Buana Bhakti</t>
  </si>
  <si>
    <t>Jl. Raya Koba RT 014 RW 005, Kampung Dul Pangkalan Baru</t>
  </si>
  <si>
    <t>Jl. Raya Koba RT 014 RW 005, Kampung Dul Pangkalan Baru,Bangka Tengah,Kepulauan Bangka Belitung</t>
  </si>
  <si>
    <t>00116.01.10351.01.1.0526</t>
  </si>
  <si>
    <t>Personil a.n. Febrian selain menjadi PPR juga berperan sebagai radiografer, namun pada KTUN izin belum dicantumkan sebagai radiografer.</t>
  </si>
  <si>
    <t>-Pelaku Usaha agar mengajukan perubahan izin melalui Balis Perizinan dengan melakukan penyesuaian personil dengan kondisi di fasilitas.&lt;br /&gt;
 &lt;br /&gt;
 Untuk menutup temuan, unggah bukti KTUN izin terbaru melalui menu TLHI (Tindak Lanjut Hasil Inspeksi) di Sistem Balis Infara (https://balis-infara.bapeten.go.id) sebagai bukti tindak lanjut hasil inspeksi.&lt;br&gt;</t>
  </si>
  <si>
    <t>Pekerja radiasi sudah sesuai dengan izin
 Personil a.n. Febrian pada KTUN izin sudah dicantumkan sebagai PPR dan Radiografer.</t>
  </si>
  <si>
    <t>Terdapat personil di fasilitas yang belum sesuai dengan izin:
 • PPR baru a.n Coornelio Costana per Maret 2026, PPR lama a.n Winarno Suseno sudah tidak bekerja di RSUD Dr. Eko Maulana Ali 
 • dr. Ferdi Mahadian, Sp.Rad digantikan oleh dr. Omadi Wisnu Priarto, Sp. Rad
 • Pekerja radiasi a.n Widia Astuti sudah tidak bekerja/ resign
 • Pekerja radiasi baru a.n Gading Pradifa Indirwanto</t>
  </si>
  <si>
    <t>Terdapat 1 (satu) orang Pekerja Radiasi yang resign an. Dedi Yuliardi (16 Januari 2024) pada KTUN No.06959.399.1.210723 mb.20 Juli 2028
 Terdapat pekerja radiasi baru belum trcantum dalam izin atas nama:
 1. dr. Oktavianus Dermawan 
 2. Dr. Yuliana 
 3. Rina Esti</t>
  </si>
  <si>
    <t>-Pelaku usaha agar mengajukan permohonan perubahan izin pada 2 KTUN yang dimiliki melalui Balis 2.5 Untuk menutup temuan unggah Rekomendasi perubahan izin melalui menu TLHI (Tindak Lanjut Hasil Inspeksi) di Sistem Balis Infara (https://balis-infara.bapeten.go.id) sebagai bukti tindak lanjut hasil inspeksi. &lt;br&gt;</t>
  </si>
  <si>
    <t>KTUN No.06959.399.1.210723 mb.20 Juli 2028 sudah di perbaiki dengan mengeluarkan nama radiografer yang sudah resign atas nama Dedi Yuliardi. Sudah terbit KTUN terbaru dengan nomor 07741.698.3.300626
 TENTANG PERUBAHAN REKOMENDASI RADIOLOGI DIAGNOSTIK UNTUK PENGUKURAN DENSITAS TULANG DAN/ATAU
 PESAWAT GIGI INTRA ORAL NOMOR : 06959.399.1.210723KTUN 2 no 11103.608.3.080926 baru terbit untuk revisi menambah personil dr. Oktavianus, dr.Yuliana, Rina Esti. Total jumlah personil sudah 25 orang. revisi jumlah perlengkapan proteksi.</t>
  </si>
  <si>
    <t>Terdapat pekerja radiasi sudah keluar atas nama:
 1. Anandheka Maulana dan 
 2. Raisyah Marisky 
 Terdapat pekerja radisai baru belum tercantum dalam izin atas nama:
 1. Andini Wulandari
 2. Retno Ayu Wulandari
 3. EVan Hermawan
 4. Akhli Safaat
 5. dr. Stepanus Eric. Sp.Rad</t>
  </si>
  <si>
    <t>-Pelaku usaha agar mengajukan permohonan perubahan izin terkait perubahan pekerja radiasi melalui Balis 2.5. Untuk menutup temuan unggah Rekomendasi perubahan izin melalui menu TLHI (Tindak Lanjut Hasil Inspeksi) di Sistem Balis Infara (https://balis-infara.bapeten.go.id) sebagai bukti tindak lanjut hasil inspeksi. &lt;br&gt;</t>
  </si>
  <si>
    <t>Perubahan Izin Perubahan Data PersonilSurat Penjelasan mengenai Perubahan izin personel</t>
  </si>
  <si>
    <t>Terdapat 3 pekerja radiasi baru belum tercantumdalam izin atas nama:
 • Dimas Pratama
 • Maiwa Putri Apinka Limsha
 • Dr. Ira Ariyati
 Terdapat pekerja radiasi yang sudah resign/tidak aktif atas nama :
 • Dr. Biddulth Sujana, Sp. Rad
 • Syafitri Nadya</t>
  </si>
  <si>
    <t>-Pelaku usaha agar mengajukan permohonan perubahan izin melalui Balis 2.5 yang terintegrasi dengan OSS. Untuk menutup temuan unggah Rekomendasi perubahan izin melalui menu TLHI (Tindak Lanjut Hasil Inspeksi) di Sistem Balis Infara (https://balis-infara.bapeten.go.id) sebagai bukti tindak lanjut hasil inspeksi. &lt;br&gt;</t>
  </si>
  <si>
    <t>Sudah dilakukan permohonan pada balis online untuk perubahan personil dengan 113128.26 untuk radiologi konvensional dan dengan nomor registrasi 13109.26 untukPesawat Gigi Intra Oral</t>
  </si>
  <si>
    <t>Terdapat pengajuan perubahan data pekerja radiasi dengan no. registrasi 113632.26.
 Untuk menutup temuan, unggah bukti KTUN terbaru yang telah menambahkan pekerja radiasi a.n Habib Abdillah melalui menu TLHI (Tindak Lanjut Hasil Inspeksi) di Sistem Balis Infara (https://balis-infara.bapeten.go.id) sebagai bukti tindak lanjut hasil inspeksi.</t>
  </si>
  <si>
    <t>-Pelaku Usaha agar melanjutkan permohonan perubahan data perkerja radiasi sampai dengan selesai.&lt;br&gt;</t>
  </si>
  <si>
    <t>Pengajuan dengan no Registrasi 113632.26 ditolak dan dilanjutkan dengan no registrasi 113748.26 
 Perubaan ijin terkait personnel dengan no registrasi 113748.26 dan no KTUN 07201.708.3.190626 terbit pada 19 juni 2026</t>
  </si>
  <si>
    <t>PPR a/n Alfian Hanas Putra dan Teddy Marlevi telah pindah ke negara lain, namun masih tercantum dalam Surat Izin Pengukuran (Gauging) nomor 06054.709.3.250526 (MB. 7 April 2027).</t>
  </si>
  <si>
    <t>-Pelaku Usaha agar mengajukan revisi Surat Izin Pengukuran (gauging) sesuai dengan kondisi di lapangan.&lt;br /&gt;
 &lt;br /&gt;
 Untuk menutup temuan, unggah bukti revisi izin melalui menu TLHI (Tindak Lanjut Hasil Inspeksi) di Sistem Balis Infara (https://balis-infara.bapeten.go.id) sebagai bukti tindak lanjut hasil inspeksi.&lt;br&gt;</t>
  </si>
  <si>
    <t>Telah mengajukan revisi Nama Personel dalam KTUN Penggunaan</t>
  </si>
  <si>
    <t>Terdapat pekerja radiasi yang tercantum dalam data izin tetapi sudah pindah posisi, resign, atau pensiun dengan rincian sbb:
 Izin Perekaman data (06356.708.3.020626) - Kadaluarsa 20 April 2027
  - Syukron Ady Purnawiranto - 2025-03-14 --&gt; Tercatat sebagi PPR (sudah expired), saat ini sudah tidak sebagai PPR lagi, tetapi sebagai PDC (performance development coordinator)
 Izin Impor (00520.452.3.160125) - Kadaluarsa 13 Juli 2027
  PPR -Mochamad Agung Ramdan - 2026-02-19) - pindah district
  PKZR - Reymond Tambunan - 2025-08-28 - pensiun
  Operator Logging - Fatuh Aditya Hobiguna - resign</t>
  </si>
  <si>
    <t>-Pelaku Usaha agar mengajukan perubahan data pekerja radiasi sesuai dengan kondisi terkini&lt;br /&gt;
 &lt;br /&gt;
 Untuk menutup temuan, unggah bukti KTUN perubahan data izin sesuai dengan data terkini melalui menu TLHI (Tindak Lanjut Hasil Inspeksi) di Sistem Balis Infara (https://balis-infara.bapeten.go.id) sebagai bukti tindak lanjut hasil inspeksi.&lt;br&gt;</t>
  </si>
  <si>
    <t>Izin Perekaman Data Dalam Sumur dan Izin Impor telah melalui perubahan data personil sesuai dengan kondisi terkini dengan nomor KTUN Izin Perekaman Data Dalam Sumur 07088.708.3.170626 dan Izin Impor 06923.623.3.120626.</t>
  </si>
  <si>
    <t>Dr. Tarmizi sudah pensiun, namun masih tercantum dalam izin</t>
  </si>
  <si>
    <t>-Pelaku Usaha agar mengajukan update personil dalam izin&lt;br&gt;</t>
  </si>
  <si>
    <t>Telah dilakukan perubahan nama pada KTUN IZIN. IZIN Baru terlampir</t>
  </si>
  <si>
    <t>Terdapat PPR yang belum tercantum dalam data izin atas nama Putri Devia Cika</t>
  </si>
  <si>
    <t>-Pelaku Usaha agar memperbarui data Pekerja Radiasi ketika mengajukan izin baru.&lt;br /&gt;
 &lt;br /&gt;
 Untuk menutup temuan, unggah bukti revisi izin melalui menu TLHI (Tindak Lanjut Hasil Inspeksi) di Sistem Balis Infara (https://balis-infara.bapeten.go.id) sebagai bukti tindak lanjut hasil inspeksi.&lt;br&gt;</t>
  </si>
  <si>
    <t>Perubahan Personil mengalami kendala Pada OSS -Pemenuhan Persyaratan PB UMKU, dimana balis lama yang muncul atas nama user bangkit Beniardi, bukan User Admin : 008434ARDIANS</t>
  </si>
  <si>
    <t>Terdapat 2 pekerja radiasi yang bekerja sejak Desember 2025, belum tercantum dalam data izin atas nama:
 1. Syaiful Hendra
 2. Budi Prihandono</t>
  </si>
  <si>
    <t>-Pelaku Usaha agar menambahkan pekerja radiasi tersebut ke dalam izin ketika dilakukan revisi izin atau pengajuan izin baru.&lt;br /&gt;
 &lt;br /&gt;
 Untuk menutup temuan, unggah bukti tindak lanjut melalui menu TLHI (Tindak Lanjut Hasil Inspeksi) di Sistem Balis Infara (https://balis-infara.bapeten.go.id) sebagai bukti tindak lanjut hasil inspeksi.&lt;br&gt;</t>
  </si>
  <si>
    <t>Izin perubahan personil</t>
  </si>
  <si>
    <t>PKZR a.n Bambang Fahmi Y masih tercantum di dalam KTUN, informasi terakhir yang bersangkutan sudah meninggal.</t>
  </si>
  <si>
    <t>Kami sudah melakukan perubahan izin dengan nomor registrasi 117171.26 nomor KTUN BPTN-KTUN-08782.708.3.210726 untuk penggantian PKZR atas nama Bambang Fahmi Yunan diganti dengan Tjandra Juliawan</t>
  </si>
  <si>
    <t>PR baru :
 - Ray Selvy Firmansyah Putra
 - Dani Rusdianto
 - Nono Adhi Wibjowo
 PR Resign:
 - Dzikri Prasetya Praman
 - Ikhwan Jodi
 - Sugiarto</t>
  </si>
  <si>
    <t>-Pelaku Usaha agar mengajukan perubahan KTUN melalui Balis Perizinan dengan melakukan penyesuaian personil sesuai kondisi di fasilitas.&lt;br /&gt;
 &lt;br /&gt;
 Untuk menutup temuan, unggah bukti KTUN terbaru melalui menu TLHI (Tindak Lanjut Hasil Inspeksi) di Sistem Balis Infara (https://balis-infara.bapeten.go.id) sebagai bukti tindak lanjut hasil inspeksi.&lt;br /&gt;
 &lt;br&gt;</t>
  </si>
  <si>
    <t>Perlu update di KTUN terbaru melalui Balis Perizinan dengan melakukan penyesuaian personil sesuai kondisi di fasilitas.KTUN terupdate (ada penyesuaian personil), setelah dilakukan analisis ada penyesuaian personil yang bekerja di area tersebut, sehingga ada pengurangan jumlah personil</t>
  </si>
  <si>
    <t>Terdapat perubahan data personil di fasilitas:
 Pekerja lama
 1. Hudzaifah Fathullah (PPR)
 2. Rokhmat Solehudin
 3. Lingga Isra Hidayahtuloh
 4. Atep Maman
 Pekerja baru
 1. Verry Irawan (PPR)
 2. Ihsan M. Akbar (PPR)
 3. Siswanto
 4. Asep Sofyan
 5. Asep Suhermansyah
 6. Desar Dwijayanto
 7. Vani Renaldi
 8. Akbar Aprizal
 9. Miftah Agustin
 10. Lutfi Anwar Fauzan
 11. Rizky Febryanto
 12. Ana Mulyana
 13. Andriana Fatah Mubarok
 14. Egi Saputra
 15. Wisnu Bayu Saputra
 16. Nopi Hidayat
 17. Nurrokhim
 18. Irvan Basilius
 19. Muhammad Yahya</t>
  </si>
  <si>
    <t>-Pelaku Usaha agar mengajukan perubahan KTUN melalui Balis Perizinan dengan melakukan penyesuaian personil dengan kondisi di fasilitas.&lt;br /&gt;
 &lt;br /&gt;
 Untuk menutup temuan, unggah bukti KTUN terbaru melalui menu TLHI (Tindak Lanjut Hasil Inspeksi) di Sistem Balis Infara (https://balis-infara.bapeten.go.id) sebagai bukti tindak lanjut hasil inspeksi.&lt;br /&gt;
 &lt;br&gt;</t>
  </si>
  <si>
    <t>Terdapat perubahan pekerja radiasi
 1. Edi Suhada (pensiun 2025)
 2. Suwari (pensiun Juli 2026)
 3. Sulastri (pensiun Januari 2026)
 4. Sudarno (pensiun Juli 2026)
 5. Iqrommullah pindah lokasi ke plant Jawa Timur
 6. Harmono pindah lokasi ke plant Jawa Timur
 7. Haryanto pindah lokasi ke plant Jawa Timur</t>
  </si>
  <si>
    <t>Terdapat 7 (tujuh) orang pekerja radiasi belum tercantum dalam data KTUN izin, yaitu:
 1. Dedy Suhardi, 
 2. dr. Eko Indra Pradono, Sp. U, 
 3. dr. Demy Faheem, Sp. OT., 
 4. Susilawati, 
 5. Dedin Juedin, 
 6 dr. Arlina Purnamasari, Sp. Rad, 
 7. Nining Kholifah (menggantikan Nurlailah yang pindah ke bagian lain)</t>
  </si>
  <si>
    <t>-Pelaku Usaha agar melakukan perubahan data pekerja radiasi pada KTUN izin sesuai dengan kondisi terkini.&lt;br /&gt;
 &lt;br /&gt;
 Untuk menutup temuan, unggah bukti perubahan data pekerja radiasi pada KTUN izin sesuai dengan kondisi terkini melalui menu TLHI (Tindak Lanjut Hasil Inspeksi) di Sistem Balis Infara&lt;br /&gt;
 (https://balis-infara.bapeten.go.id) sebagai bukti tindak lanjut hasil inspeksi.&lt;br&gt;</t>
  </si>
  <si>
    <t>Permohonan perubahan personel ke Balis Online</t>
  </si>
  <si>
    <t>Cemindo Gemilang</t>
  </si>
  <si>
    <t>Jl. Raya Bayah-Cibareno KM 07, Kp Tenjolaut RT 001/001, Desa Darmasari, Kecamatan Bayah</t>
  </si>
  <si>
    <t>Jl. Raya Bayah-Cibareno KM 07, Kp Tenjolaut RT 001/001, Desa Darmasari, Kecamatan Bayah,Lebak,Banten</t>
  </si>
  <si>
    <t>00153.01.08658.08.1.0626</t>
  </si>
  <si>
    <t>Pekerja radiasi baru an. Sadrani dan Ahmad Rifai menggantikan Muamar dan Mukh Hasnan Ainun Najib.
 PPR baru an. Hidayatur Rahmadi no. Izin Bekerja No. 412495.120.20.231025, PPR Analisis menggunakan sumber radiasi pengion, berlaku s.d tanggal 22 Oktober 2030 menggantikan PPR an. Mukh Hasnan Ainun Najib.</t>
  </si>
  <si>
    <t>-Pelaku Usaha melakukan perubahan data pekerja pada KTUN izin dengan menambahkan pekerja radiasi baru pada KTUN izin yang berlaku. &lt;br /&gt;
 &lt;br /&gt;
 Untuk menutup temuan, unggah bukti perubahan KTUN izin yang mencantumkan nama pekerja radiasi tersebut melalui menu TLHI (Tindak Lanjut Hasil Inspeksi) di Sistem Balis Infara (https://balis-infara.bapeten.go.id) sebagai bukti tindak lanjut hasil inspeksi&lt;br&gt;</t>
  </si>
  <si>
    <t>Perubahan KTUN</t>
  </si>
  <si>
    <t>Terdapat pekerja radiasi yang belum tercantum dalam KTUN izin.</t>
  </si>
  <si>
    <t>-Pelaku Usaha agar melakukan perubahan data pekerja pada KTUN izin dengan menambahkan pekerja radiasi baru pada KTUN izin yang berlaku. &lt;br /&gt;
 &lt;br /&gt;
 Untuk menutup temuan, unggah bukti perubahan KTUN izin yang mencantumkan nama pekerja radiasi tersebut melalui menu TLHI (Tindak Lanjut Hasil Inspeksi) di Sistem Balis Infara (https://balis-infara.bapeten.go.id) sebagai bukti tindak lanjut hasil inspeksi.&lt;br&gt;</t>
  </si>
  <si>
    <t>Ineos Aromatics Indonesia</t>
  </si>
  <si>
    <t>Jl. Raya Merak Km. 116, Kelurahan Rawa Arum, Kec. Gerogol</t>
  </si>
  <si>
    <t>Jl. Raya Merak Km. 116, Kelurahan Rawa Arum, Kec. Gerogol,Cilegon,Banten</t>
  </si>
  <si>
    <t>00150.01.13101.08.1.0626</t>
  </si>
  <si>
    <t>1. Terdapat perubahan data Petugas Keamanan Zat Radioaktif (PKZR) baru atas nama Hayuningtyas Juniatama No. Sertifikat: 425137.70.00.08072025 menggantikan PKZR lama atas nama Aris Kristanto.
 2. Terdapat 2 (dua) pekerja baru untuk tujuan pemanfaatan Gauging atas nama Helmi dan Usmani.
 3. Terdapat 2 (dua) pekerja baru untuk tujuan pemanfaatan Analisi atas nama Nur Kholis dan Sufiyadi Ahmad.</t>
  </si>
  <si>
    <t>-Pelaku Usaha agar melakukan perubahan data KTUN izin dengan menambahkan data PKZR baru dan para pekerja radiasi baru pada KTUN izin yang berlaku. &lt;br /&gt;
 &lt;br /&gt;
 Untuk menutup temuan, unggah bukti perubahan KTUN izin yang mencantumkan nama-nama tersebut melalui menu TLHI (Tindak Lanjut Hasil Inspeksi) di Sistem Balis Infara (https://balis-infara.bapeten.go.id) sebagai bukti tindak lanjut hasil inspeksi.&lt;br&gt;</t>
  </si>
  <si>
    <t>untuk Perubahan KTUN Gauging sudah tersedia. KTUN bernama BPTN-KTUN-07862.709.3.020726_132315. untuk Perubahan KTUN radiasi pengion sudah tersedia. KTUN bernama BPTN-KTUN-07930.711.3.030726_132341</t>
  </si>
  <si>
    <t>PT Kolon Ina</t>
  </si>
  <si>
    <t>Jl. Raya Jakarta - Serang KM.80, Desa/Kelurahan Kaserangan, Kec. Ciruas</t>
  </si>
  <si>
    <t>Jl. Raya Jakarta - Serang KM.80, Desa/Kelurahan Kaserangan, Kec. Ciruas,Serang,Banten</t>
  </si>
  <si>
    <t>00149.01.14709.08.1.0626</t>
  </si>
  <si>
    <t>Terdapat Petugas Proteksi Radiasi (PPR) baru, atas nama Muhammad Agil Wicaksono, No. Izin Bekerja No. 4339664.113.01.290523 berlaku s.d 2 Oktober 2026, merangkap sebagai Petugas Keamanan Zat Radioaktif (PKZR). Ybs bekerja sejak 21 Mei 2026 dan belum tercantum dalam data KTUN izin</t>
  </si>
  <si>
    <t>-Pelaku Usaha agar melakukan perubahan data KTUN izin dengan menambahkan data PPR dan PKZR atas nama Muhammad Agil Wicaksono pada KTUN izin yang berlaku. &lt;br /&gt;
 &lt;br /&gt;
 Untuk menutup temuan, unggah bukti perubahan KTUN izin yang mencantumkan nama Muhammad Agil Wicaksono sebagai PPR melalui menu TLHI (Tindak Lanjut Hasil Inspeksi) di Sistem Balis Infara (https://balis-infara.bapeten.go.id) sebagai bukti tindak lanjut hasil inspeksi.&lt;br&gt;</t>
  </si>
  <si>
    <t>Pekerja a.n Muhammad Agil Wicaksono sudah terdaftar pada Perizinan milik PT KOLON INA. Kemudian atas permintaan dan pertimbangan dari Pekerja a.n Hilda Frihandini dan Apertika Prasetyani yang sedang dalam program memiliki anak. kedua pekerja tersebut telah dikurangi dari perizinan milik PT KOLON INA sehingga saat ini tidak akan bersinggungan lagi dengan pekerjaan Radiasi.</t>
  </si>
  <si>
    <t>Indonesia Nippon Seiki</t>
  </si>
  <si>
    <t>Jl. Utama Modern Industri Blok E, Kawasan Industri Modern Cikande, Desa Barengkok, Kec. Kibin</t>
  </si>
  <si>
    <t>Jl. Utama Modern Industri Blok E, Kawasan Industri Modern Cikande, Desa Barengkok, Kec. Kibin,Serang,Banten</t>
  </si>
  <si>
    <t>00148.01.05929.08.1.0626</t>
  </si>
  <si>
    <t>Terdapat Petugas Proteksi Radiasi (PPR) baru atas nama Rendy Kurniawan No. SIB. 025516.124.04.080824 masa berlaku 6 Juni 2028. belum tercantum dalam data izin</t>
  </si>
  <si>
    <t>-Pelaku Usaha agar melakukan perubahan data KTUN izin dengan menambahkan data PPR atas nama Rendy Kurniawan pada KTUN izin yang berlaku. &lt;br /&gt;
 &lt;br /&gt;
 Untuk menutup temuan, unggah bukti perubahan KTUN izin yang mencantumkan nama Rendy Kurniawan sebagai PPR melalui menu TLHI (Tindak Lanjut Hasil Inspeksi) di Sistem Balis Infara (https://balis-infara.bapeten.go.id) sebagai bukti tindak lanjut hasil inspeksi.&lt;br&gt;</t>
  </si>
  <si>
    <t>Update KTUN yang menyatakan rendy sebagai PPR pada lampiran ke tiga</t>
  </si>
  <si>
    <t>00147.01.05929.12.1.0626</t>
  </si>
  <si>
    <t>-Pelaku Usaha agar melakukan perubahan data pekerja pada KTUN izin dengan menambahkan pekerja radiasi baru pada KTUN izin yang berlaku.&lt;br /&gt;
 &lt;br /&gt;
 Untuk menutup temuan, unggah bukti perubahan KTUN izin yang mencantumkan nama pekerja radiasi tersebut melalui menu TLHI (Tindak Lanjut Hasil Inspeksi) di Sistem Balis Infara (bapeten.go.id) sebagai bukti tindak lanjut hasil inspeksi.&lt;br&gt;</t>
  </si>
  <si>
    <t>Terdapat 14 (empat belas) personel pekerja radiasi yang belum tercantum dalam izin, an:
 1. Setia Indra Yudha
 2. Wardatul Latifah
 3. Muhammad Bayu A
 4. Yesi Kumala Sari
 5. Chpy Hermawansyah
 6. dr. Mohammad Fachri Lubis
 7. dr. Auliya Akbar, Sp.OT
 8. dr. Felais Hediyanto Pradana, Sp.OT
 9. dr. Purnama Satria Bakti, Sp.B Sub BVE
 10. Ari Shandakila
 11. Sumpena
 12. Sunarto
 13. Imam Taufik
 14. Aldi Pradana Robiandi
 Terdapat personel an Mochamad Aji Dwi Wibowo sudah tidak bekerja lagi pada tahun 2023, tetapi masih tercantum di KTUN Izin.</t>
  </si>
  <si>
    <t>-Kode Temuan 3.02.01&lt;br /&gt;
 Pelaku usaha agar mengajukan permohonan perubahan data pekerja radiasi ke BAPETEN melalui BALIS Perizinan.&lt;br /&gt;
 &lt;br /&gt;
 KTUN yang sudah dilakukan perubahan diunggah di Sistem Balis Infara (https://balis-infara.bapeten.go.id) pada menu TLHI (Tindak Lanjut Hasil Inspeksi) sebagai bukti tindak lanjut hasil inspeksi.&lt;br /&gt;
 &lt;br&gt;</t>
  </si>
  <si>
    <t>Terdapat perubahan personel pekerja radiasi yaitu:
 Pengurangan personel operator, atas nama:
 1. Margiyanti 
 2. Sunarti 
 3. Rusmawati Lingga 
 4. Agus Salim 
 5. Desni Mutiara Saragih 
 6. Sukiyem 
 7. Andre Jhonatan 
 8. Yugi Kurniawan 
 9. Enis chomsatin yundiana
 Penambahan personel operator, atas nama:
 1. Novi Astuti 
 2. Titi Sriasih 
 3. Eryn Sri Handayani 
 4. Nova Kartini 
 5. Yulita Erdalia 
 6. Yuditiya Agi Saputra 
 7. Aan Anifah 
 8. Sumarni</t>
  </si>
  <si>
    <t>Telah melakukan Pengurangan personel operator, atas nama:
 1. Margiyanti
 2. Sunarti
 3. Rusmawati Lingga
 4. Agus Salim
 5. Desni Mutiara Saragih
 6. Sukiyem
 7. Andre Jhonatan
 8. Yugi Kurniawan
 9. Enis chomsatin yundiana
 Telah melakukan Penambahan personel operator, atas nama:
 1. Novi Astuti
 2. Titi Sriasih
 3. Eryn Sri Handayani
 4. Nova Kartini
 5. Yulita Erdalia
 6. Yuditiya Agi Saputra
 7. Aan Anifah
 8. Sumarni</t>
  </si>
  <si>
    <t>Terdapat 10 (sepuluh) personel pekerja radiasi yang belum tercantum dalam KTUN Izin semenjak 2 (dua) unit SRP beroperasi yaitu an:
 1. Ahmad Azken Adjie Laksono
 2. Yana Saepudin
 3. Anggal Wardana
 4. Asep Agus Setiawan
 5. Yusup Ibrohim
 6. Deri Setiyanto
 7. Ulis Kurniawan
 8. Cepi Firmansyah
 9. Basuki
 10. Olvi Mustafha Hadzi</t>
  </si>
  <si>
    <t>Telah dilakukan tindak lanjut terhadap temuan 3.02.01 dengan mengajukan permohonan perubahan data pekerja radiasi kepada BAPETEN melalui sistem BALIS Perizinan untuk menambahkan 10 (sepuluh) personel pekerja radiasi yang sebelumnya belum tercantum dalam KTUN Izin.
 Dengan demikian, data pekerja radiasi pada KTUN Izin telah disesuaikan dengan kondisi aktual pekerja radiasi yang ditugaskan pada pengoperasian SRP di perusahaan.</t>
  </si>
  <si>
    <t>Terdapat perubahan data pekerja radiasi dengan data sebagai berikut:
 - Gading Ambang Mukti Kharisma Putra status resign
 - Sham Adhigunarto sebagai Petugas Perawatan Fas. Produksi Radioisotop (baru)
 - Ubaydillah Zedd Munshy sebagai Operator Fas. Produksi Radioisotop (baru)</t>
  </si>
  <si>
    <t>-Kode Temuan 3.02.01&lt;br /&gt;
 Pelaku usaha agar mengajukan permohonan perubahan data pekerja radiasi ke BAPETEN melalui BALIS Perizinan.&lt;br /&gt;
 &lt;br /&gt;
 KTUN yang sudah dilakukan perubahan diunggah di Sistem Balis Infara (https://balis-infara.bapeten.go.id) pada menu TLHI (Tindak Lanjut Hasil Inspeksi) sebagai bukti tindak lanjut hasil inspeksi.&lt;br&gt;</t>
  </si>
  <si>
    <t>Kode Temuan 3.02.01 Bukti Pengajuan Perubahan Personel Perizinan Fasilitas Produksi Radiofarmaka PT Bio Farma Persero</t>
  </si>
  <si>
    <t>Total pekerja radiasi ada 56 personel, yang tercantum di KTUN izin baru 19 personel.
 Terdapat 37 personel pekerja radiasi yang belum tercantum namanya dalam KTUN izin pemanfaatan.</t>
  </si>
  <si>
    <t>-Kode Temuan 3.02.01&lt;br /&gt;
 Pelaku usaha mengajukan permohonan perubahan data personel pekerja radiasi dalam KTUN izin pemanfaatan.&lt;br /&gt;
 &lt;br /&gt;
 KTUN izin pemanfaatan yang telah direvisi diunggah di Sistem Balis Infara (https://balis-infara.bapeten.go.id) melalui menu TLHI (Tindak Lanjut Hasil Inspeksi) sebagai bukti tindak lanjut hasil inspeksi.&lt;br /&gt;
 &lt;br&gt;</t>
  </si>
  <si>
    <t>Perubahan Personil sudah dilakukan sesuai dgn pekerja radiasi yg bertugas. ada 3 org yg resign atas nama: Imam Maulana, Iqbal Awaludin dan dr. Rudi Hadinata, Sp. OT. Surat permohanan terlampir</t>
  </si>
  <si>
    <t>Terdapat perubahan data personel yaitu pekerja radiasi an. Mia Sumiati Nugraha yang sudah tidak bekerja lagi.</t>
  </si>
  <si>
    <t>-Kode Temuan 3.02.01&lt;br /&gt;
 Pelaku Usaha agar mengajukan perubahan data izin pemanfaatan (perubahan data pekerja radiasi) ke BAPETEN melalui Balis Perizinan.&lt;br /&gt;
 &lt;br /&gt;
 KTUN izin pemanfaatan diunggah di Sistem Balis Infara (https://balis-infara.bapeten.go.id) pada menu TLHI (Tindak Lanjut Hasil Inspeksi) sebagai bukti tindak lanjut hasil inspeksi.&lt;br /&gt;
 &lt;br&gt;</t>
  </si>
  <si>
    <t>Perubahan KTUN pengurangan dan penambahan personel</t>
  </si>
  <si>
    <t>1. Belum ada supervisor perawatan padahal ada di struktur produksi radioisotop radiofarmaka.</t>
  </si>
  <si>
    <t>-Agar Pelaku Usaha menyediakan supervisor perawatan.&lt;br /&gt;
 &lt;br /&gt;
 Untuk menutup temuan, pelaku usaha mengunggah komitmen menyediakan supervisor perawatan sebagai Tindak Lanjut Hasil Inspeksi&lt;br&gt;</t>
  </si>
  <si>
    <t>Terdapat pekerja radiasi yang tidak sesuai dengan data izin:
 1. Terdapat Radioterapis baru yang belum dimasukkan dalam izin atas nama IK Tara Rista, Mardon, Saifa, dan Maulyna Prabu
 2. Terdapat Radioterapis yang sudah tidak bekerja lagi yaitu: Syarifatul Ulya 
 3. Terdapat PPR baru yang belum masuk data izin: atas nama Veni Setyowati dan Yudi Ubaidilah</t>
  </si>
  <si>
    <t>-Agar Pelaku Usaha mengajukan perubahan izin untuk memperbaharui data pekerja radiasi sesuai dengan kondisi terkini.&lt;br /&gt;
 Untuk menutup temuan, pelaku usaha mengunggah katun perubahan izin untuk data pekerja radiasi sebagai Tindak Lanjut Hasil Inspeksi di Sistem Balis Infara (https://balis-infara.bapeten.go.id) sebagai bukti tindak lanjut hasil inspeksi&lt;br /&gt;
 &lt;br&gt;</t>
  </si>
  <si>
    <t>Terdapat pekerja radiasi yang belum tercantum dalam KTUN izin impor dan pengalihan atas nama Sdr. Alfi Syahrin dan Yuris Perdana Putra</t>
  </si>
  <si>
    <t>-Pelaku Usaha mengajukan permohonan perubahan izin melalui BALIS untuk perubahan data penambahan pekerja radiasi baru atas nama Sdr. Alfi Syahrin dan Yuris Perdana Putra dengan melampirkan surat permohonan, hasil pemantauan dosis pekerja radiasi atau bukti pelayanan TLD badge untuk pekerja baru, dan hasil pemantauan kesehatan terbaru.&lt;br&gt;</t>
  </si>
  <si>
    <t>Sudah didaftarkan untuk nama Alfi dan Yuris pada pengajuan penambahan registrasi nomor 122067.26</t>
  </si>
  <si>
    <t>Terdapat perubahan data pekerja radiasi:
 • pengurangan pekerja radiasi atas nama Sdr./i. Roro Raharjani dan Fajar Muslim pada KTUN 06792.604.3.110626
 • terdapat penambahan 11 personil baru, dan proses pengajuan perubahan izin ke BAPETEN dalam proses
 • Sdr. Agus Yuliono agar dikeluarkan dari KTUN izin karena yang bersangkutan bukan pekerja radiasi, namun merupakan pekerja administrasi.</t>
  </si>
  <si>
    <t>Pernyataan Komitmen Pemegang Izin RS Fatmawati agustus 2026KTUN Pelayanan Radioterapi (penambahan personil) agustus 2026</t>
  </si>
  <si>
    <t>Lab Sistematika Indonesia</t>
  </si>
  <si>
    <t>Jl. Raya Pondok Gede No. 10A Dukuh, Kramat Jati</t>
  </si>
  <si>
    <t>Jl. Raya Pondok Gede No. 10A Dukuh, Kramat Jati,Jakarta Timur,DKI Jakarta</t>
  </si>
  <si>
    <t>00186.01.07441.14.1.0726</t>
  </si>
  <si>
    <t>1. Terdapat PPR yang sudah berhenti bekerja yang tercantum dalam KTUN izin pengalihan atas nama Heryanto Sudrajat.
 2. Terdapat penambahan pekerja radiasi baru atas nama Sdr. Nano Sujani dan Ikhsan Deantony</t>
  </si>
  <si>
    <t>-Pelaku Usaha melakukan perubahan izin impor dan izin pengalihan untuk perubahan data pekerja radiasi. &lt;br&gt;</t>
  </si>
  <si>
    <t>IZIN PENGALIHAN PEMBANGKIT RADIASI PENGION
 NOMOR : 09001.618.3.240726
 Data Petugas Proteksi Radiasi (PPR)
 1. 044112 Dewi Ramandhanni Kusumawati PPR Industri Tk. 1
 Data Petugas
 Data Petugas Lainnya yang Menangani Sumber Radiasi Pengion
 1. 412779 Lisko Wari Antony Teknisi
 2. 412778 Surwanto Teknisi
 3. 468179 Ikhsan Deantony Teknisi
 4. 412777 Muhammad Luthfi Ardilla Teknisi
 5. 412776 Aziz Priantoro Teknisi
 6. 028361 Lucky Eka Irawibawa Teknisi
 7. 434663 Arief Satriyo Sulistiyanto Teknisi
 8. 434662 Faldi Adam Sabar Teknisi
 9. 441546 Rizqi Agung Nugroho Teknisi
 10. 457654 Nano Sujani Teknisi
 IZIN IMPOR PEMBANGKIT RADIASI PENGION NOMOR : 08031.624.3.060726 
 Data Petugas Proteksi Radiasi (PPR) 
 1. 044112 Dewi Ramandhanni Kusumawati PPR Industri Tk. 1
 Data Petugas Data Petugas Lainnya yang Menangani Sumber Radiasi Pengion 
 1. 412779 Lisko Wari Antony Teknisi
 2. 412778 Surwanto Teknisi 
 3. 468179 Ikhsan Deantony Teknisi 
 4. 412777 Muhammad Luthfi Ardilla Teknisi 
 5. 412776 Aziz Priantoro Teknisi 
 6. 028361 Lucky Eka Irawibawa Teknisi 
 7. 434663 Arief Satriyo Sulistiyanto Teknisi 
 8. 434662 Faldi Adam Sabar Teknisi 
 9. 441546 Rizqi Agung Nugroho Teknisi 
 10. 457654 Nano Sujani Teknisi 
 IZIN IMPOR PEMBANGKIT RADIASI PENGION
 NOMOR : 09002.615.3.240726
 Data Petugas Proteksi Radiasi (PPR)
 1. 044112 Dewi Ramandhanni Kusumawati PPR Industri Tk. 1
 Data Petugas
 Data Petugas Lainnya yang Menangani Sumber Radiasi Pengion
 1. 412779 Lisko Wari Antony Teknisi
 2. 412778 Surwanto Teknisi
 3. 468179 Ikhsan Deantony Teknisi
 4. 412777 Muhammad Luthfi Ardilla Teknisi
 5. 412776 Aziz Priantoro Teknisi
 6. 028361 Lucky Eka Irawibawa Teknisi
 7. 434663 Arief Satriyo Sulistiyanto Teknisi
 8. 434662 Faldi Adam Sabar Teknisi
 9. 441546 Rizqi Agung Nugroho Teknisi
 10. 457654 Nano Sujani Teknisi</t>
  </si>
  <si>
    <t>DNX Indonesia</t>
  </si>
  <si>
    <t>Gedung Plaza Park View Lt. 5 Jl. Taman Kemang No. 27 Kelurahan Bangka, Kec. Mampang Prapatan</t>
  </si>
  <si>
    <t>Gedung Plaza Park View Lt. 5 Jl. Taman Kemang No. 27 Kelurahan Bangka, Kec. Mampang Prapatan,Jakarta Selatan,DKI Jakarta</t>
  </si>
  <si>
    <t>00185.01.16649.14.1.0726</t>
  </si>
  <si>
    <t>Terdapat pekerja radiasi baru atas nama Sdri. Indriani Julianti belum tercantum dalam KTUN izin UTR nomor 06531.741.1.060626.</t>
  </si>
  <si>
    <t>-Pelaku Usaha agar mengajukan permohonan perubahan izin melalui BALIS untuk penambahan personil pada KTUN izin pemanfaatan atas nama Sdri. Indriani Julianti dengan melampirkan zero check OSL badge dan hasil pemantauan kesehatan.&lt;br&gt;</t>
  </si>
  <si>
    <t>Kami telah menyiapkan Surat Permohonan Pergantian Nama pada unit TLD, pembelian unit baru beserta pelayanan evaluasinya, yang semula Nurliani menjadi Indriani Julianti, yang telah ditandatangani oleh salah 1 Direktur kami.</t>
  </si>
  <si>
    <t>1. Terdapat perubahan data pekerja radiasi di lokasi pemanfaatan CMK Studio dan belum tercantum dalam KTUN izin yaitu
 • Eko Suprianto
 • Isnan Suaidi
 • Engkos Kasi
 2. Sdr. Rifqi Nihayatuzzain sudah tidak bertugas lagi sebagai pekerja radiasi (mutasi divisi)</t>
  </si>
  <si>
    <t>-Pelaku Usaha mengajukan permohonan perubahan izin melalui BALIS untuk perubahan data penambahan pekerja radiasi baru atas nama:&lt;br /&gt;
 • Eko Suprianto&lt;br /&gt;
 • Isnan Suaidi&lt;br /&gt;
 • Engkos Kasi&lt;br /&gt;
 Dengan melampirkan surat permohonan, hasil pemantauan dosis pekerja radiasi atau bukti pelayanan TLD badge untuk pekerja baru, dan hasil pemantauan kesehatan terbaru.&lt;br /&gt;
 &lt;br&gt;-Pelaku Usaha mengajukan permohonan perubahan izin melalui BALIS untuk pengurangan data pekerja radiasi yang mutasi divisi atas nama Sdr. Rifqi Nihayatuzzain dengan melampirkan surat keterangan mutasi dari pimpinan.&lt;br&gt;</t>
  </si>
  <si>
    <t>1. Terdapat perubahan pekerja radiasi untuk penambahan pekerja baru atas nama Sdr./i. Ahmad Albar, Du Zhihui, dan Mio Xiaomei.
 2. Sdri. Devi Kristyono Adji akan berhenti bekerja sebagai PPR, dan digantikan oleh Sdr. Ahmad Albar.</t>
  </si>
  <si>
    <t>-Pelaku Usaha agar mengajukan perubahan izin atas:&lt;br /&gt;
 • Penambahan pekerja radiasi baru dan PPR. &lt;br /&gt;
 • Pengurangan PPR pada saat Sdri. Devi Kristyono Adji sudah berhenti bekerja.&lt;br /&gt;
 &lt;br&gt;</t>
  </si>
  <si>
    <t>Terdapat perubahan pekerja radiasi: Fisikawan medik a.n. Suprianto telah berhenti bekerja, digantikan oleh fisikawan medik yang baru atas nama Deswan.</t>
  </si>
  <si>
    <t>-Pelaku usaha agar melakukan perubahan rekomendasi izin dengan menyesuaikan data pekerja radiasi terbaru saat ini. &lt;br /&gt;
 &lt;br /&gt;
 Untuk menutup temuan, unggah perubahan KTUN rekomendasi izin yang sudah mencantumkan data pekerja radiasi saat ini melalui menu TLHI (Tindak Lanjut Hasil Inspeksi) di Sistem Balis Infara (https://balis-infara.bapeten.go.id) sebagai bukti tindak lanjut hasil inspeksi. &lt;br&gt;</t>
  </si>
  <si>
    <t>Telah kami lakukan pergantian tenaga fisikawan medis sesuai hasil arahan dari inspektur Bapeten pada tanggal 8 Juli 2026.</t>
  </si>
  <si>
    <t>RSUD Tulang Bawang Barat</t>
  </si>
  <si>
    <t>Jalan Raya Panaragan Jaya, Pulung Kencana, Panaragan Jaya, Tulang Bawang Tengah, Kab. Tulang Bawang Barat, Lampung 34693</t>
  </si>
  <si>
    <t>Jalan Raya Panaragan Jaya, Pulung Kencana, Panaragan Jaya, Tulang Bawang Tengah, Kab. Tulang Bawang Barat, Lampung 34693,Tulang Bawang Barat,Lampung</t>
  </si>
  <si>
    <t>00213.01.12305.01.1.0726</t>
  </si>
  <si>
    <t>Terdapat perubahan data pekerja radiasi, sebagai berikut: 
 a. Pekerja radiasi a.n. dr. Risa Nourma Aziza, Sp.Rad telah berhenti bekerja namun masih tercantum dalam KTUN rekomendasi izin. 
 b. Terdapat penambahan pekerja radiasi yang belum tercantum dalam KTUN rekomendasi izin: • a.n. Tri Budi Waskito sebagai radiografer. • dr. Dyah Purwaningrum, Sp. Rad sebagai Dokter Spesialis Radiologi</t>
  </si>
  <si>
    <t>Telah dilakukan pengajuan perubahan data pekerja radiasi pada rekomendasi izin/KTUN, dengan rincian sebagai berikut:
 Penghapusan nama dr. Risa Nourma Aziza, Sp.Rad dari data pekerja radiasi karena yang bersangkutan telah berhenti bekerja.
 Pengajuan penambahan pekerja radiasi atas nama Tri Budi Waskito sebagai Radiografer.
 Pengajuan penambahan pekerja radiasi atas nama dr. Dyah Purwaningrum, Sp.Rad sebagai Dokter Spesialis Radiologi.</t>
  </si>
  <si>
    <t>Terdapat pekerja radiasi (radiografer) a.n. Sari Endah Hartanti yang belum tercantum dalam KTUN rekomendasi izin BAPETEN.</t>
  </si>
  <si>
    <t>-Pelaku usaha agar melakukan perubahan rekomendasi izin dengan menyesuaikan&lt;br /&gt;
 data pekerja radiasi terbaru saat ini.&lt;br /&gt;
 &lt;br /&gt;
 &lt;br /&gt;
 Untuk menutup temuan, unggah perubahan KTUN rekomendasi izin yang sudah mencantumkan data pekerja radiasi saat ini melalui menu TLHI (Tindak Lanjut Hasil Inspeksi) di Sistem Balis Infara (https://balis-infara.bapeten.go.id)&lt;br /&gt;
 sebagai bukti tindak lanjut hasil inspeksi.&lt;br /&gt;
 &lt;br&gt;</t>
  </si>
  <si>
    <t>RSUD Alimuddin Umar</t>
  </si>
  <si>
    <t>Jl. Teuku Umar No. 3, Kubu Perahu Balik, Liwa</t>
  </si>
  <si>
    <t>Jl. Teuku Umar No. 3, Kubu Perahu Balik, Liwa,Lampung Barat,Lampung</t>
  </si>
  <si>
    <t>00211.01.13042.01.1.0726</t>
  </si>
  <si>
    <t>Terdapat perubahan data pekerja radiasi (Radiografer). Telah berhenti bekerja atas nama Afinda Deviana digantikan oleh pekerja radiasi yang baru atas nama Rika Gustina</t>
  </si>
  <si>
    <t>-Pelaku usaha agar melakukan perubahan rekomendasi izin dengan menyesuaikan data pekerja radiasi terbaru saat ini. Untuk menutup temuan, unggah perubahan KTUN rekomendasi izin yang sudah mencantumkan data pekerja radiasi saat ini melalui menu TLHI (Tindak Lanjut Hasil Inspeksi) di Sistem Balis Infara (https://balis-infara.bapeten.go.id) sebagai bukti tindak lanjut hasil inspeksi. &lt;br&gt;</t>
  </si>
  <si>
    <t>ktun perubahan personil 2026 afinda deviana diganti oleh rika gustina</t>
  </si>
  <si>
    <t>Berdasarkan inspeksi di lapangan RSUD Dr. Achmad Mochtar Bukittinggi Fasilitas Radiologi Diagnostik dan Intervensional terdapat perubahan pekerja radiasi, yaitu:
 a. 30 (Tiga Puluh) Pekerja radiasi baru belum tercantum dalam KTUN:
 1. Almaiza 
 2. Fauzan Saktio Nanda
 3. Ayu Rahma Sari
 4. Sugesti Mayapada
 5. Sartika Auliya
 6. Aulia Saputri
 7. Chalyurahman Wahid
 8. Ryssa Patriartika
 9. Khairul Ikhwan
 10. Riganta, ST, MPH 
 11. Rico Piliang Sani
 12. Bilholter Siagian
 13. Ade Isra Yuni
 14. Nelfia
 15. dr.Roniza Basri, Sp.An
 16. Dr. Rhudy Marseno, Sp.BS
 17. Dr. H. Andri Boy
 18. Alfajri
 19. Ns.Deswita Azhar, S.Kep
 20. Afiyeni
 21. Hendri Darmaiyanto
 22. Opriadi
 23. Joni Kurniawan
 24. Muhardi
 25. Yudi Rahmat
 26. Riki Gustina
 27. Aulia Rahmadani
 28. Dwi Oktalia
 29. Ulya Maksum 
 30. Rahma Dewi 
 b. 7 (Tujuh) pekerja radiasi yang tidak bekerja lagi di Fasilitas Radiologi Diagnostik Dan Intervensional namun belum dikeluarkan dari KTUN rekomendasi izin, atas nama :
 1. dr. Sufriadi, Sp.U(K)
 2. dr. Yanuel Aziz, Sp.Rad (Pensiun)
 3. Afdal N (Pensiun)
 4. Fafi Rahmah, M.Si. (SK penugasan di Instalasi Onkologi Radiasi)
 5. Amy Rakhmawati (SK penugasan di Instalasi Onkologi Radiasi)
 6. Ali Mazra (Meninggal dunia)
 7. Yolan Rahma Gesti (Pindah bekerja)</t>
  </si>
  <si>
    <t>-RSUD Dr. Achmad Mochtar Bukittinggi segera melakukan proses perubahan KTUN rekomendasi izin lingkup Radiologi Diagnostik dan Intervensional dengan menyesuaikan data pekerja radiasi terbaru saat ini melalui Balis Perizinan 2.5 dengan memenuhi persyaratan sesuai yang tertera dalam sistem. &lt;br /&gt;
 &lt;br /&gt;
 Untuk menutup temuan, unggah KTUN perubahan rekomendasi izin yang telah terbit dari Balis 2.5 yang sudah mencantumkan personel pekerja radiasi terbaru saat ini, melalui menu TLHI (Tindak Lanjut Hasil Inspeksi) di Sistem Balis Infara (https://balis-infara.bapeten.go.id) sebagai bukti tindak lanjut hasil inspeksi.&lt;br /&gt;
 &lt;br&gt;</t>
  </si>
  <si>
    <t>KTUN perubahan rekomendasi izin yang telah terbit dari Balis 2.5 yang sudah mencantumkan personel pekerja radiasi terbaru saat iniKTUN perubahan rekomendasi izin yang telah terbit dari Balis 2.5 yang sudah mencantumkan personel pekerja radiasi terbaru saat ini</t>
  </si>
  <si>
    <t>TTerdapat 13 pekerja radiasi yang tidak tercantum dalam KTUN rekomendasi izin :
 1. Fernanda Eka Putra (PPR)
 2. Susilawaty (PPR)
 3. Rudy Ervan (PPR)
 4. Syafrika Meidendra (Operator)
 5. Niko Kurniawan (Operator)
 6. Hari Safutra (Operator)
 7. Fauzi Hanura (Operator)
 8. Fyol Lanry (Operator)
 9. Hendra Syahrizana (Operator)
 10. Sadri Hedusman (Operator)
 11. Rikawarni (Operator)
 12. Riska Aproditya (Operator)
 13. Nurul Annisa (Operator)
 Terdapat 1 pekerja radiasi masih tercantum di dalam KTUN izin, tetapi tidak bekerja lagi, atas nama: Eko Sarwo Adi Wibowo (operator)</t>
  </si>
  <si>
    <t>-Pelaku usaha segera melakukan proses perubahan KTUN rekomendasi izin dengan menyesuaikan data pekerja radiasi terbaru saat ini melalui Balis Perizinan 2.5 dengan memenuhi persyaratan sesuai yang tertera dalam sistem.&lt;br /&gt;
 &lt;br /&gt;
 Untuk menutup temuan, unggah KTUN perubahan rekomendasi izin yang telah terbit dari Balis 2.5 yang sudah mencantumkan personel pekerja radiasi terbaru saat ini, melalui menu TLHI, (Tindak Lanjut Hasil Inspeksi) di Sistem Balis Infara (https://balis-infara.bapeten.go.id) sebagai bukti tindak lanjut hasil inspeksi.&lt;br /&gt;
 &lt;br&gt;</t>
  </si>
  <si>
    <t>Terdapat perubahan pekerja radiasi di fasilitas radioterapi, yaitu: 3 (tiga) orang pekerja radiasi baru belum tercantum dalam KTUN rekomendasi izin, telah bekerja sejak Juni 2025 atas nama:
 1. Yolanda Hari Subagyo (radioterapis)
 2. Syafti Hanifa (radioterapis)
 3. Rasyida Rumaisya (dokter jaga)</t>
  </si>
  <si>
    <t>-RSUD Dr. Achmad Mochtar Bukittinggi segera melakukan perubahan KTUN rekomendasi izin lingkup Radioterapi dengan menyesuaikan data pekerja radiasi terbaru saat ini melalui BALIS Perizinan 2.5 dengan memenuhi persyaratan sesuai yang tertera dalam sistem.&lt;br /&gt;
 &lt;br /&gt;
 Untuk menutup temuan, unggah KTUN perubahan rekomendasi izin yang telah terbit dari BALIS 2.5 yang sudah mencantumkan personel pekerja radiasi terbaru saat ini, melalui menu TLHI (Tindak Lanjut Hasil Inspeksi) di Sistem BALIS INFARA (https://balis-infara.bapeten.go.id) sebagai bukti tindak lanjut hasil inspeksi.&lt;br /&gt;
 &lt;br&gt;</t>
  </si>
  <si>
    <t>Terdapat perubahan pekerja radiasi, yaitu:
 7 (tujuh) orang pekerja radiasi baru belum tercantum dalam KTUN rekomendasi izin, Bekerja mulai tanggal 1 Juni 2025; atas nama:
 1. Nurmajila (Radiografer)
 2. Yolan Rasta Kinaya (Radiografer)
 3. Luthfiyyah Ibtisamah (Radiografer)
 4. Yulismar (Perawat)
 5. dr. Aditya Arbi (Dokter Anestesi)
 6. Rima Putri Hastri (Dokter Anestesi)
 7. Alfajri (Perawat)</t>
  </si>
  <si>
    <t>-BLU RS Otak DR. Drs. M. Hatta Bukittinggi segera melakukan perubahan KTUN rekomendasi izin lingkup Radiologi Diagnostik dan Intervensional dengan menyesuaikan data pekerja radiasi terbaru saat ini melalui BALIS Perizinan 2.5 dengan memenuhi persyaratan sesuai yang tertera dalam sistem.&lt;br /&gt;
 &lt;br /&gt;
 Untuk menutup temuan, unggah KTUN perubahan rekomendasi izin yang telah terbit dari BALIS 2.5 yang sudah mencantumkan personel pekerja radiasi terbaru saat ini, melalui menu TLHI (Tindak Lanjut Hasil Inspeksi) di Sistem BALIS INFARA (https://balis-infara.bapeten.go.id) sebagai bukti tindak lanjut hasil inspeksi.&lt;br&gt;</t>
  </si>
  <si>
    <t>Temuan 3.02.01 Point 1 : Penambahan nama pekerja radiasi atas nama : dr. Aditya Arbi, dr. Rima Putri Hastri, Alfajri, dan YulismarTemuan 3.02.01 Point 1 : Status pembelian TLD Atas nama Yolan Rasta Kinaya, Nurmajila, Luthfiyyah Ibtisamah</t>
  </si>
  <si>
    <t>Terdapat 6 (enam) pekerja radiasi yang tidak tercantum dalam KTUN rekomendasi izin kedokteran nuklir atas nama:
 1. Rery Sulthani (Analisis Kesehatan)
 2. Muhammad Kamil (radiofarmasis)
 3. Surya Andhika (Perawat)
 4. Ibnu Sutanto (Perawat)
 5. Yola Despriani (Fisika medik)
 6. Feranda Zatra (Radiografer)</t>
  </si>
  <si>
    <t>IZIN OPERASIONAL KN TERAPIIZIN OPERASIONAL KN IN VIVOIZIN OPERASIONAL KN IN VITROSURAT PERNYATAAN KOMITMEN PEMENUHAN SIB PPR</t>
  </si>
  <si>
    <t>Berdasarkan inspeksi di lapangan RSUP Dr. M. Djamil Padang Fasilitas Radiologi Diagnostik dan Intervensional terdapat perubahan pekerja radiasi, yaitu:
 a. 49 (Empat Puluh Sembilan) Pekerja radiasi baru belum tercantum dalam KTUN:
 1. Nadia Ramadhani Putri
 2. Vany Yulian Giva
 3. Dio Haves Putra
 4. Marniati
 5. Ivo Laviando
 6. Dhanda Satriawan
 7. Vani Fadila
 8. Zullieti
 9. Aulia Agustin Nisa
 10. Ade Septiani
 11. Vici Aulia Safira
 12. Ilhamdani Ayum Putra
 13. Muhammad Hasan nusi
 14. Agung Pranama Putra
 15. Maulana Malta
 16. Mahdevie
 17. Hendrik Febian Davidson
 18. Vanesa Nakayuni
 19. A Fadhil
 20. Eros Amri
 21. Gusna Yunita
 22. Tari Zuryatna
 23. Fathni Mufid
 24. Hendri Wiryanto
 25. Ruri Prinika
 26. Faridah Fahmi
 27. Sri Yulia Yezi 
 28. Suci Rahmawati
 29. Zulhar Destriani
 30. Fadil Putra Mandasi
 31. Rahmat Hidayat
 32. Fachrul Rozi Harsi
 33. Syamsul Bahri
 34. Lydia Anggraini Tanjung 
 35. Widia Wamelda Putri
 36. Afriza
 37. Alfandri Witra Abdullah
 38. Muhammad Hudal Muttaqin
 39. Muhammad Lehmam
 40. Dr. M. Dilga Casaerio
 41. Rais Sahidin
 42. Ivo Yulia Suranti
 43. Gentariska Misvaindra
 44. Reggy Maulia Govanda
 45. Muhammad Athallah Ramadhan 
 46. Detria Rusda
 47. Mila Atros
 48. Roy Apriandini
 49. Asdinul Ilham
 b. 01 (Satu) pekerja radiasi yang tidak bekerja lagi di Fasilitas Radiologi Diagnostik Dan Intervensional namun belum dihapus dari KTUN rekomendasi izin, atas nama :
 1. dr. Tiara Febrina, Sp. Rad Dokter Spesialis Radiologi</t>
  </si>
  <si>
    <t>-RSUP Dr. M. Djamil Padang segera melakukan proses perubahan KTUN rekomendasi izin lingkup Radiologi Diagnostik dan Intervensional dengan menyesuaikan data pekerja radiasi terbaru saat ini melalui Balis Perizinan 2.5 dengan memenuhi persyaratan sesuai yang tertera dalam sistem.&lt;br /&gt;
 &lt;br /&gt;
 Untuk menutup temuan, unggah KTUN perubahan rekomendasi izin yang telah terbit dari Balis 2.5 yang sudah mencantumkan personel pekerja radiasi terbaru saat ini, melalui menu TLHI (Tindak Lanjut Hasil Inspeksi) di Sistem Balis Infara (https://balis-infara.bapeten.go.id) sebagai bukti tindak lanjut hasil inspeksi.&lt;br&gt;</t>
  </si>
  <si>
    <t>Terdapat perubahan pekerja radiasi, yaitu:
 a. 9 (sembilan) orang pekerja radiasi baru belum tercantum dalam KTUN rekomendasi izin, atas nama:
 1. Elsi Trisma (Fisikawan Medik)
 2. M. Ilham (Fisikawan Medik)
 3. Erna (Perawat)
 4. Rina Wiwita (Perawat)
 5. Sri Friska Kurniati (Bidan)
 6. Husnul Fajri (Radioterapis)
 7. Sri Herlinda (Radioterapis)
 8. Heru Prihandoko (Radioterapis)
 9. M. Guspiandri (Radioterapis)
 b. 2 (dua) pekerja radiasi yang tidak bekerja lagi di Fasilitas Radioterapi namun belum dikeluarkan dari KTUN rekomendasi izin, atas nama
 1. Mursiyatun, S.Si (PPR/Fisikawan Medik)
 2. Resti Fitrina (Perawat)</t>
  </si>
  <si>
    <t>Pekerja radiasi a.n. Evi Triana, Evi Maria Ulfa, Shulhan Azizy, Evan Agung Wibisono, Mochamad Dhani Ismail, dr. Gilang Airlangga, Sp.OT belum tercantum dalam KTUN Izin Pemanfaatan</t>
  </si>
  <si>
    <t>-Pelaku Usaha agar melakukan perubahan rekomendasi izin terkait pekerja radiasi sesuai dengan kondisi terkini.&lt;br /&gt;
 &lt;br /&gt;
 Unggah KTUN Perubahan Izin tersebut melalui menu TLHI (Tindak Lanjut Hasil Inspeksi) di Sistem BALIS INFARA (https://balis-infara.bapeten.go.id) sebagai bukti tindak lanjut hasil inspeksi.&lt;br /&gt;
 &lt;br&gt;</t>
  </si>
  <si>
    <t>Kami sudah melakukan perbaikan dengan melakukan perubahan ijin personal, namun kurang 2 TLD mata untuk pekerja atas nama Evan Agung Wibisono dan Mochamad Dhani Ismail. 
 TLD mata dalam proses pembelian ( Kami Sampaikan screenshot draf pengajuan perubahan personal di balis onllne perijinan)</t>
  </si>
  <si>
    <t>Terdapat pekerja radiasi baru a.n. Susanti yang belum tercantum dalam KTUN Izin Pemanfaatan.</t>
  </si>
  <si>
    <t>Terdapat pekerja radiasi yang belum tercantum dalam KTUN Izin pemanfaatan yaitu: 
 • dr. Lucky Taufika Yuhedi, Sp.Onk.Rad
 • Cornelius Triyoga Harjadi, 
 • Muryanti
 • Raka Sarnyata 
 • Wariman
 • Wulansari
 • Suprihatin
 • Prajatiya Harwoko
 • Ratri Oktavianingsih
 • Lidya Permatasari, 
 • Kurniawan, 
 • Emha Ridho Pamungkas, 
 • Fajar Yuhanto, 
 • Fidianto, 
 • Budi Hartono, 
 • Wahyu Pradono, 
 • Yohanes Adi Susilo, 
 • Siti Sudarmiati, 
 • Dwi Sunaring 
 • Rejeki, Ardi Setyanto, 
 • Ida Sukawati, 
 • Abu Ahmadi, 
 • Nurul Dyah Kusumawati, 
 • dr. Taufik Nur Yahya, Sp.BTKV., Muhammad Agi Ramadhani Gustisiya, Witriyani, 
 • Damara Marell Ferdyansyah, 
 • Danu Alief Pandoyo, 
 • Hanifah Fitri Maharani, 
 • Hepy Surya Suhartanti, dan 
 • Laela Dwi Febrianti, S.Tr.Kes.(Rad).</t>
  </si>
  <si>
    <t>sudah menambahkan update pegawai terbaru</t>
  </si>
  <si>
    <t>Pekerja radiasi a.n. Nira Riesta Rahayu belum tercantum dalam KTUN Izin Pemanfaatan.</t>
  </si>
  <si>
    <t>-Pelaku Usaha agar mengajukan perubahan izin terkait penambahan pekerja radiasi baru melalui Balis Perizinan 2.5.&lt;br /&gt;
 &lt;br /&gt;
 Unggah KTUN Perubahan Izin melalui menu TLHI (Tindak Lanjut Hasil Inspeksi) di Sistem BALIS INFARA (https://balis-infara.bapeten.go.id) sebagai bukti tindak lanjut hasil inspeksi.&lt;br /&gt;
 &lt;br /&gt;
 &lt;br&gt;</t>
  </si>
  <si>
    <t>Pekerja radiasi baru belum tercantum dalam KTUN Izin Pemanfaatan yaitu a.n. 
 a. Lukman Awaludin, S.Si., M.Cs.
 b. Mahbub Ramadhan Al Fitri, S.Tr.T
 c. Zamroni, S.E., M.M.
 d. Wahyu Nugroho, S.Si.</t>
  </si>
  <si>
    <t>-Pihak Instansi agar segera mengajukan perubahan izin terkait penambahan pekerja radiasi melalui Balis Perizinan 2.5.&lt;br /&gt;
 &lt;br /&gt;
 Unggah KTUN Izin Pemanfaatan tersebut melalui menu TLHI (Tindak Lanjut Hasil Inspeksi) di Sistem BALIS INFARA (https://balis-infara.bapeten.go.id) sebagai bukti tindak lanjut hasil inspeksi.&lt;br /&gt;
 &lt;br /&gt;
 &lt;br&gt;</t>
  </si>
  <si>
    <t>Petugas Proteksi Radiasi a.n. Sri Hartadi sudah tidak bekerja lagi di instansi sejak Desember 2025.</t>
  </si>
  <si>
    <t>-Pelaku Usaha agar melakukan perubahan izin terkait perubahan data pekerja sesuai dengan kondisi terkini.&lt;br /&gt;
 &lt;br /&gt;
 Unggah KTUN Perubahan Izin tersebut melalui menu TLHI (Tindak Lanjut Hasil Inspeksi) di Sistem BALIS INFARA (https://balis-infara.bapeten.go.id) sebagai bukti tindak lanjut hasil inspeksi.&lt;br /&gt;
 &lt;br /&gt;
 &lt;br&gt;</t>
  </si>
  <si>
    <t>KTUN revisi perubahan PPR</t>
  </si>
  <si>
    <t>Terdapat pekerja radiasi baru a.n Fauzi Hafiz Makarim yang belum masuk ke dalam KTUN</t>
  </si>
  <si>
    <t>-Mengajukan perubahan KTUN izin karena adanya penambahan data pekerja radiasi melalui Balis Perizinan.&lt;br /&gt;
 &lt;br /&gt;
 Untuk menutup temuan, unggah KTUN terbaru melalui menu TLHI pada sistem Balis Infara 2.0 https://balis-infara.bapeten.go.id/ sebagai bukti tindak lanjut hasil inspeksi.&lt;br /&gt;
 &lt;br&gt;</t>
  </si>
  <si>
    <t>Personil an. Fauzi Hafiz Makarim sudah masuk dalam KTUN perubahan personil.</t>
  </si>
  <si>
    <t>Terdapat perubahan pekerja radiasi yang telah resign namun belum dikeluarkan dari KTUN:
 1. Muhammad Ainuddin (Operator)
 2. Dede Ardi (Operator)</t>
  </si>
  <si>
    <t>Perubahan KTUN dalam ProsesSIB UNTUK PPR BELUM RELEASEREGISTRASI PEKERJA RADIASI TERBARUSIB PPR</t>
  </si>
  <si>
    <t>Terdapat perubahan data Pekerja Radiasi:
 a. Pekerja sudah berhenti namun belum dikeluarkan dari KTUN a.n. Fatih Muhammad Fathi (radiografer)
 b. Pekerja baru belum tercantum dalam KTUN a.n. dr. Fahmi Anshori, Sp. O.</t>
  </si>
  <si>
    <t>-Mengajukan perubahan izin/KTUN untuk menyesuaikan nama Pekerja Radiasi sesuai kondisi terkini dengan memenuhi persyaratan yang berlaku.&lt;br /&gt;
 &lt;br /&gt;
 Untuk menutup temuan, unggah KTUN terbaru melalui menu TLHI pada sistem Balis Infara 2.0 https://balis-infara.bapeten.go.id/ sebagai bukti tindak lanjut hasil inspeksi. &lt;br /&gt;
 &lt;br&gt;</t>
  </si>
  <si>
    <t>KTUN perubahan personil terbit Agustus 2026</t>
  </si>
  <si>
    <t>Goodyear Indonesia</t>
  </si>
  <si>
    <t>Jl. Pemuda No.27 Kelurahan Kebon Pedes, Kec. Tanah Sareal</t>
  </si>
  <si>
    <t>Jl. Pemuda No.27 Kelurahan Kebon Pedes, Kec. Tanah Sareal,Bogor,Jawa Barat</t>
  </si>
  <si>
    <t>00228.01.00122.08.1.0726</t>
  </si>
  <si>
    <t>Terdapat perubahan pekerja radiasi:
 - Kurnia Ahmadi telah dipindah area dan digantikan oleh Bambang Mulyono</t>
  </si>
  <si>
    <t>-Mengajukan perubahan izin Pengukuran (gauging) karena adanya perubahan data PPR dan Pekerja Radiasi.&lt;br /&gt;
 &lt;br /&gt;
 Untuk menutup temuan, unggah KTUN terbaru melalui menu TLHI pada sistem Balis Infara 2.0 https://balis-infara.bapeten.go.id/ sebagai bukti tindak lanjut hasil inspeksi.&lt;br /&gt;
 &lt;br&gt;</t>
  </si>
  <si>
    <t>sudah di ubah untuk penggantian pekerja</t>
  </si>
  <si>
    <t>Terdapat perubahan pekerja radiasi:
 1. Pekerja sudah tidak bekerja belum dikeluarkan dari KTUN: Muhammad Syaifullah (radiografer)
 2. Pekerja baru belum tercantum dalam KTUN: Rd.Riri Rizki,Amd.Kes (radiografer)</t>
  </si>
  <si>
    <t>-Mengajukan perubahan izin/KTUN untuk menyesuaikan nama pekerja radiasi sesuai kondisi terkini &lt;br /&gt;
 &lt;br /&gt;
 Untuk menutup temuan, unggah KTUN terbaru melalui menu TLHI pada sistem Balis Infara 2.0 https://balis-infara.bapeten.go.id/ sebagai bukti tindak lanjut hasil inspeksi. &lt;br /&gt;
 &lt;br&gt;</t>
  </si>
  <si>
    <t>m syaifullah sudah di ubah menjadi Rd.riri rizki</t>
  </si>
  <si>
    <t>Arthasabena Putra</t>
  </si>
  <si>
    <t>Jl. Pajajaran No. 219</t>
  </si>
  <si>
    <t>Jl. Pajajaran No. 219,Bogor,Jawa Barat</t>
  </si>
  <si>
    <t>00225.01.00840.01.1.0726</t>
  </si>
  <si>
    <t>Terdapat perubahan data pekerja radiasi: 
 - Pekerja radiasi baru belum dicantumkan pada KTUN: Zallita Saktya Harari 
 - Pekerja radiasi sudah tidak bekerja belum dikeluarkan dari KTUN: 
 1. Anastasia (RDI) 
 2. Syakina Adinda Fachsya, Amd.Kes (Intra Oral) 
 3. Meliana Rizqi Aprilia, Amd.Kes (Intra Oral) 
 4. Maharani Setia Dewi (Intra Oral) 
 5. Ferizka Amalia Adriani (Intra Oral) 
 6. Yoga Prihastanto (Intra Oral)</t>
  </si>
  <si>
    <t>-Mengajukan perubahan izin karena adanya perubahan data pekerja radiasi.&lt;br /&gt;
 &lt;br /&gt;
 Untuk menutup temuan, unggah KTUN terbaru melalui menu TLHI pada sistem Balis Infara 2.0 https://balis-infara.bapeten.go.id/ sebagai bukti tindak lanjut hasil inspeksi.&lt;br /&gt;
 &lt;br&gt;</t>
  </si>
  <si>
    <t>Terdapat pekerja radiasi yang belum tercantum dalam izin, yaitu:
 1. Muhammad Fadil (PPR)
 2. Ahmad Tijan Durori (Radiografer Tk 1)</t>
  </si>
  <si>
    <t>Terdapat Pekerja radiasi yang tidak tercantum dalam izin an. Nur Hamidah dan Rudi Gunawan .</t>
  </si>
  <si>
    <t>-Pelaku Usaha agar mengajukan perubahan data Izin dengan mencantumkan personil terkini.&lt;br /&gt;
 &lt;br /&gt;
 Untuk menutup temuan, unggah bukti KTUN izin pemanfaatan terbaru melalui menu TLHI (Tindak Lanjut Hasil Inspeksi) di Sistem Balis Infara (https://balis-infara. bapeten.go.id) sebagai bukti tindak lanjut hasil inspeksi&lt;br&gt;</t>
  </si>
  <si>
    <t>Penambahan Pekerja Radiasi</t>
  </si>
  <si>
    <t>Terdapat Pekerja Radiasi yang sudah tidak tidak bekerja namun masih terdaftar dalam sistem Balis.</t>
  </si>
  <si>
    <t>-PT. Enseval Medika Prima segera memberikan konfirmasi dan menyusun Surat Pemberhentian/Surat Pernyataan yang menyebutkan Pekerja Radiasi tersebut sudah tidak bekerja di PT. Enseval Medika Prima. &lt;br /&gt;
 &lt;br /&gt;
 Untuk menutup temuan, unggah Surat Pemberhentian/Surat Pernyataan pada menu TLHI (Tindak Lanjut Hasil Inspeksi) Balis Infara (https://balis-infara.bapeten.go.id) sebagai bukti tindak lanjut hasil inspeksi.&lt;br&gt;</t>
  </si>
  <si>
    <t>PT. Enseval Medika Prima telah memberikan konfirmasi terkait Pekerja Radiasi yang sudah tidak bekerja namun masih terdaftar dalam Sistem Balis. Sebagai tindak lanjut atas hasil inspeksi dan rekomendasi BAPETEN, dilampirkan Surat Keterangan Kerja yang menyatakan bahwa Pekerja Radiasi tersebut sudah tidak bekerja di PT. Enseval Medika Prima. Dokumen tersebut diunggah pada Sistem Balis sebagai data dukung tindak lanjut.</t>
  </si>
  <si>
    <t>Giandra Mitra Solusi</t>
  </si>
  <si>
    <t>Gedung Nucira Lt. 1, Jl. MT. Haryono Kav. 27, Tebet Timur, Tebet</t>
  </si>
  <si>
    <t>Gedung Nucira Lt. 1, Jl. MT. Haryono Kav. 27, Tebet Timur, Tebet,Jakarta Selatan,DKI Jakarta</t>
  </si>
  <si>
    <t>00202.01.13916.14.1.0726</t>
  </si>
  <si>
    <t>Terdapat Pekerja Radiasi dalam KTUN atas nama Yuda Prabowo dan Beti yang sudah tidak bekerja di PT Giandra Mitra Solusi mulai April 2026.</t>
  </si>
  <si>
    <t>-PT Giandra Mitra Solusi segera menyusun Surat Pemberhentian/Surat Pernyataan yang menyebutkan Pekerja Radiasi tersebut sudah tidak bekerja di PT Giandra Mitra Solusi, dan melakukan permohonan perubahan Rekomendasi Izin (Perubahan Data Pekerja Radiasi).&lt;br /&gt;
 &lt;br /&gt;
 Untuk menutup temuan, unggah Surat Pemberhentian/Surat Pernyataan dan KTUN perubahan Rekomendasi Izin tersebut pada menu TLHI (Tindak Lanjut Hasil Inspeksi) Balis Infara (https://balis-infara.bapeten.go.id) sebagai bukti tindak lanjut hasil inspeksi.&lt;br /&gt;
 &lt;br&gt;</t>
  </si>
  <si>
    <t>Terdapat Pekerja Radiasi dalam KTUN atas nama: Andriyanus Setiyawan, Andry Juhendi, dan Tri Prasetyo yang sudah tidak bekerja lagi mulai Agustus 2025 dan digantikan oleh: Ndaru Prasetya, Kumoro, dan Michael Adrian Megantoro.</t>
  </si>
  <si>
    <t>-PT. KMI Wire and Cable, Tbk. segera menyusun Surat Pemberhentian terhadap Pekerja Radiasi yang sudah tidak bekerja tersebut dan melakukan permohonan perubahan Rekomendasi Izin (Perubahan Data Pekerja Radiasi). &lt;br /&gt;
 &lt;br /&gt;
 Untuk menutup temuan, unggah Surat Pemberhentian dan KTUN perubahan Rekomendasi Izin tersebut pada menu TLHI (Tindak Lanjut Hasil Inspeksi) Balis Infara (https://balis-infara.bapeten.go.id) sebagai bukti tindak lanjut hasil inspeksi.&lt;br /&gt;
 &lt;br&gt;</t>
  </si>
  <si>
    <t>Universitas Islam Negeri Syarif Hidayatullah</t>
  </si>
  <si>
    <t>Jl. Ir. H. Juanda No. 95, Ciputat</t>
  </si>
  <si>
    <t>Jl. Ir. H. Juanda No. 95, Ciputat,Tangerang Selatan,Banten</t>
  </si>
  <si>
    <t>00251.01.08875.01.1.0826</t>
  </si>
  <si>
    <t>Terdapat pekerja radisai baru belum tercantum dalam izin atas nama:
 1. Adelia Safina
 2. Niken Aulia</t>
  </si>
  <si>
    <t>-Pelaku usaha agar melakukan perubahan izin dengan menambahkan 2 pekerja radiasi baru melalui balis online perizinan.&lt;br /&gt;
  &lt;br /&gt;
 Untuk menutup temuan unggah perubahan izin melalui menu TLHI (Tindak Lanjut Hasil Inspeksi) di Sistem Balis Infara (https://balis-infara.bapeten.go.id) sebagai bukti tindak lanjut hasil inspeksi.&lt;br&gt;</t>
  </si>
  <si>
    <t>sudah terbit KTUN terbaru dan sudah tercantum nama pekerja radiasi baru atas nama Niken Maulidya dan Adelia Safina di KTUN dengan nomor izin : 11361.608.3.110926</t>
  </si>
  <si>
    <t>Terdapat perbedaan data pekerja radiasi dengan izin. 
 Saat ini ada 48 Pekerja Radiasi.</t>
  </si>
  <si>
    <t>PPR sudah mendaftarkan pelatihan PPR X-Ray Bagasi di CV Hikmat Proteksi Alara tanggal 8-10 Oktober 2026 (Training) &amp; 12-13 Oktober 2026 (Ujian). Setelah lulus dan terbit SIB PPR baru kami berkomitmen untuk menambahkannya ke dalam KTUN di balis 2.5 Bapeten.</t>
  </si>
  <si>
    <t>Terdapat penambahan pekerja radiasi baru belum tercantum dalam izin atas nama :
 • Dulhadi
 • Gilang Ramadhan
 • Warsini
 • Andi Nuriyandi
 • Aris Nugroho
 • Yunianto
 • Sonata
 • Isa Ansyahrir
 • Muhammad Adi Yuwono
 • Bagus teguh Santoso
 • Maman Firmansyah
 • Yoga Hendra Saputra
 • Moch Sapardan</t>
  </si>
  <si>
    <t>-Pelaku usaha agar melakukan perubahan izin nomor 13314.712.3.101225 dengan menambahkan 13 pekerja radiasi baru melalui balis online perizinan.&lt;br /&gt;
 &lt;br /&gt;
 Untuk menutup temuan unggah izin perubahan melalui menu TLHI (Tindak Lanjut Hasil Inspeksi) di Sistem Balis Infara (https://balis-infara.bapeten.go.id) sebagai bukti tindak lanjut hasil inspeksi.&lt;br&gt;</t>
  </si>
  <si>
    <t>Kami sudah melakukan proses perubahan data melalui Balis online dan kami masih menunggu untuk hasilnya</t>
  </si>
  <si>
    <t>Terdapat perubahan dan penambahan pekerja radiasi. PPR dan PKZR atas nama Thoriq Wisnu Aditama sudah resign sejak Oktober 2025. 
 a. PPR baru atas mama Muhammad Raka Putera Sudrajat. 
 b. PKZR baru atas nama Roy Gunawan Wicaksono
 Terdapat Pekerja radiasi baru belum tercantum dalam izin atas nama: 
 a. Amelinda Janice Herlina
 b. Fadjri Dwiyanda Putra
 c. Try Anthoni Ridwan</t>
  </si>
  <si>
    <t>-Pelaku usaha agar melakukan perubahan izin melalui balis online perizinan.&lt;br /&gt;
 &lt;br /&gt;
 Untuk menutup temuan unggah izin perubahan melalui menu TLHI (Tindak Lanjut Hasil Inspeksi) di Sistem Balis Infara (https://balis-infara.bapeten.go.id) sebagai bukti tindak lanjut hasil inspeksi.&lt;br&gt;</t>
  </si>
  <si>
    <t>KTUN Izin Operasi dan KTUN Izin Pengalihan yang telah diperbaharui</t>
  </si>
  <si>
    <t>03.02.05</t>
  </si>
  <si>
    <t>Pekerja radiasi yang tercantum dalam izin tidak ada di lokasi</t>
  </si>
  <si>
    <t>terdapat perbedaan data pekerja radiasi dengan izin.
 a. Belum tercantum dalam KTUN izin: Saepul Hayat, Siti Khodijah, Aditia Permana, Muna Waroh, Monica Dwi Asri, Elsa Saura Ramadani, Abdul Rohim, Femil Nugrasa, Nurbaeti, Raden Mufid MJ,</t>
  </si>
  <si>
    <t>-Pelaku usaha segera melakukan perubahan KTUN rekomendasi izin lingkup&lt;br /&gt;
 Uji Tak Rusak dengan menyesuaikan data pekerja radiasi terbaru saat ini melalui BALIS Perizinan 2.5 dengan memenuhi persyaratan sesuai yang tertera dalam sistem.&lt;br /&gt;
 &lt;br /&gt;
 Unggah KTUN perubahan rekomendasi izin yang telah terbit dari BALIS 2.5 yang sudah mencantumkan personel pekerja radiasi terbaru saat ini, melalui menu TLHI (Tindak Lanjut Hasil Inspeksi) di Sistem BALIS INFARA (https://balis-infara.bapeten.go.id) sebagai bukti tindak lanjut hasil inspeksi.&lt;br&gt;</t>
  </si>
  <si>
    <t>Perubahan KTUN terbaru dengan penambahan personil pekerja radiasi</t>
  </si>
  <si>
    <t>00227.01.00122.12.1.0726</t>
  </si>
  <si>
    <t>Terdapat perubahan pekerja radiasi:
 - Redhy Satriyanto (PPR) digantikan oleh Zulfah Uzlifatul Jannah
 - Mulyono (Prugas Perawatan) digantikan oleh Andre Nugroho Pribadi</t>
  </si>
  <si>
    <t>-Mengajukan perubahan izin Uji Tak Rusak karena adanya perubahan data PPR dan Pekerja Radiasi.&lt;br /&gt;
 &lt;br /&gt;
 Untuk menutup temuan, unggah KTUN terbaru melalui menu TLHI pada sistem Balis Infara 2.0 https://balis-infara.bapeten.go.id/ sebagai bukti tindak lanjut hasil inspeksi.&lt;br /&gt;
 &lt;br&gt;</t>
  </si>
  <si>
    <t>perubahan PPR andre nugroho</t>
  </si>
  <si>
    <t>03.03.04</t>
  </si>
  <si>
    <t>Tidak melakukan pencatatan dosis personal secara teratur (TLD dan dosimeter baca langsung)</t>
  </si>
  <si>
    <t>Melakukan pencataan dosis TLD, namun belum melakukan pencatatan dosis dari pendose</t>
  </si>
  <si>
    <t>-Siloam Hospitals Manado wajib menyediakan dokumen Rekaman pencatatan dosimeter perorangan (baca langsung) sesuai dengan rekomendasi tim Inspektur BAPETEN. &lt;br /&gt;
  &lt;br /&gt;
 Unggah dokumen tersebut pada menu TLHI (Tindak Lanjut Hasil Inspeksi) &lt;br /&gt;
 BALIS INFARA (https://balis infara.bapeten.go.id) sebagai bukti tindak &lt;br /&gt;
 lanjut hasil inspeksi. (Terdapat pada rekomendasi point 7)&lt;br /&gt;
 &lt;br&gt;</t>
  </si>
  <si>
    <t>Tidak dapat menunjukkan hasil evaluasi dosis radiasi seluruh pekerja radiasi.</t>
  </si>
  <si>
    <t>-Pihak Instansi agar berkoordinasi dengan lembaga dosimetri eksterna untuk meminta hasil evaluasi dosis radiasi tersebut.&lt;br /&gt;
 &lt;br /&gt;
 Unggah hasil evaluasi dosis radiasi tersebut melalui menu TLHI (Tindak Lanjut Hasil Inspeksi) di Sistem Balis Infara (https://balis-infara.bapeten.go.id) sebagai bukti tindak lanjut hasil inspeksi.&lt;br /&gt;
 &lt;br&gt;</t>
  </si>
  <si>
    <t>Hasil Evaluasi Personal Dosimeter TLD Pekerja RadiasiKartu Dosis Pekerja Radiasi Personal Dosimeter Baca Langsung RSUP Makassar</t>
  </si>
  <si>
    <t>Hasil pembacaan dosimeter baca langsung (pendose) tidak dapat direkam secara real time, sehingga tidak ada rekaman hasil pembacaan dosimeter baca langsung.</t>
  </si>
  <si>
    <t>-Pelaku Usaha agar menyediakan peralatan dosimeter baca langsung (pendose) yang dapat merekam data dosis radiasi secara real time.&lt;br /&gt;
 &lt;br /&gt;
 Unggah bukti pengadaan peralatan tersebut melalui menu TLHI (Tindak Lanjut Hasil Inspeksi) di Sistem Balis Infara (https://balis-infara.bapeten.go.id) sebagai bukti tindak lanjut hasil inspeksi.&lt;br /&gt;
 &lt;br /&gt;
 &lt;br&gt;</t>
  </si>
  <si>
    <t>Surat keterangan Pernyataan Alat PendoseSertifikat Kalibrasi Alat Dosimeter Baca</t>
  </si>
  <si>
    <t>Kartu Dosis setiap pekerja radiasi belum dibuat</t>
  </si>
  <si>
    <t>Surat Komitmen Pembacaan TLD dan Kartu Dosis Pekerja Radiasi</t>
  </si>
  <si>
    <t>Kartu dosis untuk setiap pekerja radiasi belum tersedia.</t>
  </si>
  <si>
    <t>Upload kartu dosis pekerja radiasi</t>
  </si>
  <si>
    <t>Hasil evaluasi dosis TLD periode Januari sd Maret 2026 belum tersedia</t>
  </si>
  <si>
    <t>Upload hasil evaluasi dosis TLD periode Januari sd Maret 2026.TLD untuk dr. Elgie Aulia Syawala, Sp. Rad masih dalam proses Pengajuan TLD untuk dokter Spesialis Radiologi atas nama dr. Elgie Aulia Syawala, Sp.Rad dan Miftahul Shoheh, ST ( Fisikawan Medis) sudah dibuatkan nota dinas dan sudah di setujui oleh pimpinan. Sedang dalam proses pembelian dan MOU evaluasi hasil TLD.</t>
  </si>
  <si>
    <t>Toyoda Gosei Indonesia</t>
  </si>
  <si>
    <t>Jl. Industri Raya Lot MM-25, Kawasan Industri KIIC, Margamulya, Telukjambe Barat</t>
  </si>
  <si>
    <t>Jl. Industri Raya Lot MM-25, Kawasan Industri KIIC, Margamulya, Telukjambe Barat,Karawang,Jawa Barat</t>
  </si>
  <si>
    <t>00095.01.13547.12.1.0526</t>
  </si>
  <si>
    <t>Kartu Dosis belum tersedia</t>
  </si>
  <si>
    <t>-Pelaku Usaha segera membuat Kartu Dosis untuk setiap pekerja radiasi.&lt;br /&gt;
 &lt;br /&gt;
 Untuk menutup temuan, unggah kartu dosis pada menu TLHI (Tindak Lanjut Hasil Inspeksi) Balis Infara (https://balis-infara.bapeten.go.id) sebagai bukti tindak lanjut hasil inspeksi.&lt;br&gt;</t>
  </si>
  <si>
    <t>Membuat kartu dosis personal untuk semua karyawan di bagian X-Ray</t>
  </si>
  <si>
    <t>Kartu dosis untuk setiap pekerja radiasi belum dibuat untuk tahun 2023 sd tahun 2025
 RS Borromeus untuk mengingatkan agar setiap pekerja radiasi menggunakan TLD dalam operasional pesawat sinar-X</t>
  </si>
  <si>
    <t>KARTU DOSIS PERIODE 2021-2025Zero Check TLD Barca atas nama Dr. Angke Widya,Sp.JP</t>
  </si>
  <si>
    <t>belum membuat catatan bacaan dosis dari dosimeter baca langsung</t>
  </si>
  <si>
    <t>-BLU RUMAH SAKIT UMUM DR.SLAMET KABUPATEN GARUT wajib menyediakan rekaman: sesuai dengan rekomendasi tim Inspektur BAPETEN. &lt;br /&gt;
 &lt;br /&gt;
 &lt;br /&gt;
 Unggah dokumen-dokumen tersebut pada menu TLHI (Tindak Lanjut Hasil Inspeksi) BALIS INFARA (https://balis-infara.bapeten.go.id) sebagai bukti tindak lanjut hasil inspeksi.&lt;br&gt;</t>
  </si>
  <si>
    <t>belum ada kartu dosis untuk TLD lensa mata dan dosimeter aktif</t>
  </si>
  <si>
    <t>-RSU. Santosa Hospital Bandung Central agar membuat rekaman hasil pemantauan dosis lensa mata dan dosimeter aktif dalam bentuk kartu dosis.&lt;br /&gt;
 &lt;br /&gt;
 Unggah Rekaman dosis lensa mata dan rekaman dosis dosimeter baca langsung secara rutin pada menu TLHI (Tindak Lanjut Hasil Inspeksi) BALIS INFARA (https://balis-infara.bapeten.go.id) sebagai bukti tindak lanjut hasil inspeksi&lt;br&gt;</t>
  </si>
  <si>
    <t>Santosa Hospital Bandung Central telah melakukan pencatatan dosis personal secara teratur untuk TLD Soca dan dosimeter baca langsung. Kedepannya pencatatan dosis personal TLD Badge dan Soca akan di masukkan ke sistem rumah sakit.</t>
  </si>
  <si>
    <t>Tidak ada rekaman hasil pemakaian pendose di ruangan cathlab.</t>
  </si>
  <si>
    <t>-Pelaku Usaha agar selalu mencatat hasil pemakaian pendose dalam logbook khusus.&lt;br /&gt;
 &lt;br /&gt;
 Untuk menutup temuan, unggah logbook rekaman hasil pemakaian pendose yang sudah dibuat melalui menu TLHI (Tindak Lanjut Hasil Inspeksi) di Sistem Balis Infara (https://balis-infara.bapeten.go.id) sebagai bukti tindak lanjut hasil inspeksi.&lt;br&gt;</t>
  </si>
  <si>
    <t>logbook rekaman hasil pemakaian pendose</t>
  </si>
  <si>
    <t>Belum tersedia kartu dosis pekerja atas nama:
 1. dr. Santoso 
 2. dr. Jansen 
 3. dr. Joko 
 Belum ada kartu dosis untuk hasil bacaan Pendose</t>
  </si>
  <si>
    <t>-Pelaku usaha agar membuat kartu dosis untuk 3 orang dokter, dan kartu dosis untuk bacaan pendose. Untuk menutup temuan unggah kartu dosis tersebut melalui menu TLHI (Tindak Lanjut Hasil Inspeksi) di Sistem Balis Infara (https://balisinfara.bapeten.go.id) sebagai bukti tindak lanjut hasil inspeksi. &lt;br&gt;</t>
  </si>
  <si>
    <t>Kartu Dosis TLD Perorangan dan Kartu Dosis TLD MATA untuk dr. Santoso Judian, DR. Joko Budiman, dr. Jansen Kartu Dosis pendose Instalasi kamar bedah bulan juli 2026</t>
  </si>
  <si>
    <t>Kartu dosis belum tersedia</t>
  </si>
  <si>
    <t>TLD atau Zero Check a.n. Evan HermawanSurat Komitmen Evaluasi TLDKartu Dosis</t>
  </si>
  <si>
    <t>Kartu dosis tidak ada</t>
  </si>
  <si>
    <t>-Pelaku Usaha segera membuat kartu dosis untuk masing-masing pekerja radiasi.&lt;br /&gt;
 &lt;br /&gt;
 Untuk menutup temuan, unggah bukti kartu dosis pekerja radiasi melalui menu TLHI (Tindak Lanjut Hasil Inspeksi) di Sistem Balis Infara (https://balis-infara.bapeten.go.id) sebagai bukti tindak lanjut hasil inspeksi.&lt;br /&gt;
 &lt;br&gt;</t>
  </si>
  <si>
    <t>Tidak melakukan pelaporan data dosis pasien ke BAPETEN melalui Balis SIINTAN (Pasal 17 dan Pasal 18 Peraturan BAPETEN No.4 Tahun 2023).
 Tidak ada rekaman hasil pembacaan dosimeter aktif (pendose).</t>
  </si>
  <si>
    <t>2. Pembacaan Dosimeter Aktif1. Pelaporan Dosis SIINTAN</t>
  </si>
  <si>
    <t>Tidak melakukan pelaporan data dosis pasien ke BAPETEN melalui Balis SIINTAN (Pasal 17 dan Pasal 18 Peraturan BAPETEN No.4 Tahun 2023).</t>
  </si>
  <si>
    <t>-Kode Temuan 3.03.04&lt;br /&gt;
 Pelaku usaha melaporkan data dosis pasien ke BAPETEN melalui Balis SIINTAN.&lt;br /&gt;
 &lt;br /&gt;
 Bukti register pelaporan dosis pasien ke Balis SIINTAN diunggah di Sistem Balis Infara (https://balis-infara.bapeten.go.id) melalui menu TLHI (Tindak Lanjut Hasil Inspeksi) sebagai bukti tindak lanjut hasil inspeksi.&lt;br /&gt;
 &lt;br&gt;</t>
  </si>
  <si>
    <t>Registrasi Pelaporan Dosis ke Balis SIINTAN</t>
  </si>
  <si>
    <t>1. Kartu dosis belum diisi lengkap untuk periode Agustus 2025-Oktober 2025 dan November 2025-Januari 2026 
 2. Penggunaan dosimeter saku di Brakhiterapi belum dilakukan pencatatan log book.</t>
  </si>
  <si>
    <t>Bumi Paradise</t>
  </si>
  <si>
    <t>Jl. Kebon Bawang V No. 24 B, Yos Sudarso, Tanjung Priok</t>
  </si>
  <si>
    <t>Jl. Kebon Bawang V No. 24 B, Yos Sudarso, Tanjung Priok,Jakarta Utara,DKI Jakarta</t>
  </si>
  <si>
    <t>00158.01.05755.15.1.0626</t>
  </si>
  <si>
    <t>Belum melakukan pencatatan terhadap dosimeter aktif (pendose).</t>
  </si>
  <si>
    <t>-Agar Pelaku Usaha melakukan pencatatan penggunaan dosimeter aktif.&lt;br /&gt;
 Untuk menutup temuan, pelaku usaha mengunggah surat komitmen melakukan pencatatan dosimeter saku sebagai Tindak Lanjut Hasil Inspeksi di Sistem Balis Infara (https://balis-infara.bapeten.go.id) sebagai bukti tindak lanjut hasil inspeksi.&lt;br&gt;</t>
  </si>
  <si>
    <t>Terlampir kami sampaikan surat komitmen melakukan pencatatan dosimeter saku.</t>
  </si>
  <si>
    <t>Kartu dosis belum ada</t>
  </si>
  <si>
    <t>Data pemantauan dosis pekerja radiasi belum dilakukan perekaman pada Kartu Dosis (tahun 2023-2026).</t>
  </si>
  <si>
    <t>-Pelaku Usaha melakukan perekaman data dosis ke dalam Kartu Dosis sesuai petunjuk tim inspektur di lapangan.&lt;br&gt;</t>
  </si>
  <si>
    <t>TLD PPR &amp; PKSR</t>
  </si>
  <si>
    <t>Belum membuat kartu dosis untuk setiap pekerja radiasi</t>
  </si>
  <si>
    <t>-Pelaku Usaha agar membuat kartu dosis dengan format sesuai petunjuk tim inspektur di lapangan untuk setiap pekerja radiasi.&lt;br&gt;</t>
  </si>
  <si>
    <t>Rekap Dosis Pekerja Radiasi Radioterapi</t>
  </si>
  <si>
    <t>Belum melakukan perekaman data pemantauan dosis dalam bentuk Kartu Dosis untuk pekerja radiasi.</t>
  </si>
  <si>
    <t>-Pelaku Usaha membuat format Kartu Dosis dan melengkapi perekaman data sesuai petunjuk tim inspektur di lapangan.&lt;br&gt;</t>
  </si>
  <si>
    <t>pembuatan kartu rekaman dosis pekerja</t>
  </si>
  <si>
    <t>Belum melakukan perekaman data pemantauan dosis pekerja radiasi dalam bentuk Kartu Dosis.</t>
  </si>
  <si>
    <t>Dari hasil temuan inspeksi di lapangan, RSUD Dr. Achmad Mochtar Bukittinggi 
 a. Dilakukan pengukuran dosis pekerja radiasi pada saat Tindakan PTCA di intervensional (Pesawat Sinar-X Cathlab GE Optima IGS 320 No seri tabung 271530GI8 Kondisi maksimal 125 kV / 500 mA) menggunakan dosimeter pembacaan langsung diperoleh bacaan sebagai berikut :
 • Dokter sebesar 11.2 uSv/jam
 • Petugas scrub sebesar 8.5 uSv/jam
 b. tidak pernah menggunakan dosimeter pembacaan langsung pada saat Tindakan intervensional
 c. tidak pernah mendokumentasikan hasil dosimeter baca langsung pada penggunaan alat radiologi intervensional.</t>
  </si>
  <si>
    <t>Bukti pembelian TLD terbaru pekerja radiasi atas nama Teti Suarni pada menu TLHISurat Komitmen pelaksanaan pemantauan dosis pekerja radiasi secara rutin yang ditandatangani direktur Laporan Hasil Evaluasi TLD pekerja radiasi periode tiga bulan terakhirBukti pendukung berupa foto yang menunjukkan penggunaan dosimeter baca langsung oleh Pekerja Radiasi selama pelaksanaan kegiatan di fasilitas radiologi intervensional. Log book pemantauan dosis Pekerja Radiasi menggunakan dosimeter baca langsung secara rutin Bukti pembelian TLD terbaru pekerja radiasi atas nama Teti Suarni pada menu TLHISurat Komitmen pelaksanaan pemantauan dosis pekerja radiasi secara rutin yang ditandatangani direkturLog book pemantauan dosis Pekerja Radiasi menggunakan dosimeter baca langsung secara rutin</t>
  </si>
  <si>
    <t>Fasilitas radioterapi RSUD Dr. Achmad Mochtar Bukittinggi telah memiliki 2 (dua) unit dosimeter baca langsung, namun belum digunakan dalam pelaksanaan kegiatan operasional di fasilitas radioterapi.</t>
  </si>
  <si>
    <t>-RSUD Dr. Achmad Mochtar Bukittinggi harus menjamin:&lt;br /&gt;
 1. Pekerja radiasi wajib menggunakan dosimeter baca langsung pada setiap pelaksanaan kegiatan radioterapi.&lt;br /&gt;
 2. Pemantauan dosis Pekerja Radiasi menggunakan dosimeter baca langsung (pendose) secara rutin.&lt;br /&gt;
 3. Pendokumentasian hasil pemantauan dosis menggunakan dosimeter baca langsung, misalnya dalam bentuk log book atau kartu dosis dosimeter baca langsung.&lt;br /&gt;
 &lt;br /&gt;
 Untuk menutup temuan, RSUD Dr. Achmad Mochtar Bukittinggi wajib menyampaikan:&lt;br /&gt;
 1. Bukti pendukung berupa foto yang menunjukkan penggunaan dosimeter baca langsung oleh Pekerja Radiasi selama pelaksanaan kegiatan di fasilitas radioterapi.&lt;br /&gt;
 2. Surat pernyataan komitmen yang ditandatangani oleh Direktur Rumah Sakit, yang menyatakan bahwa rumah sakit akan melaksanakan pemantauan dosis Pekerja Radiasi menggunakan dosimeter baca langsung secara rutin, dan mendokumentasikan hasil pemantauan dosis tersebut dalam bentuk kartu dosis atau dokumen lain yang setara.&lt;br /&gt;
 &lt;br /&gt;
 Unggah bukti dukung dan surat pernyataan komitmen tersebut melalui menu TLHI (Tindak Lanjut Hasil Inspeksi) di Sistem BALIS INFARA (https://balis-infara.bapeten.go.id) sebagai bukti tindak lanjut hasil inspeksi.&lt;br /&gt;
 &lt;br&gt;</t>
  </si>
  <si>
    <t>BLU RS Otak DR. Drs. M. Hatta Bukittinggi belum mendokumentasikan hasil pembacaan dosimeter baca langsung dan TLD mata pada penggunaan alat radiologi intervensional</t>
  </si>
  <si>
    <t>Temuan 3.03.04 Point 2: Surat Komitmen pelaksanaan pemantauan dosis pekerja radiasi secara rutinTemuan 3.03.04 Point 2: Laporan Evaluasi TLD April-Juni 2026_Radiologi
 Temuan 3.03.04 Point 2: Laporan Evaluasi TLD April-Juni 2026_Cathlab
 Temuan 3.03.04 Point 2: Laporan Evaluasi TLD Lensa Mata April-Juni 2026Temuan 3.03.04 Point 3: Kartu Dosis TLD Lensa Mata</t>
  </si>
  <si>
    <t>RSUP Dr. M. Djamil Padang belum mendokumentasikan hasil pembacaan dosimeter baca langsung dan TLD mata pada penggunaan alat radiologi intervensional</t>
  </si>
  <si>
    <t>Tidak melakukan pencatatan dosis personal secara teratur.</t>
  </si>
  <si>
    <t>-Pelaku Usaha agar melakukan pencatatan dosis personal secara teratur pada kartu dosis radiasi tahunan.&lt;br /&gt;
 &lt;br /&gt;
 Unggah dokumen pencatatan dosis personal (kartu dosis radiasi tahunan) melalui menu TLHI (Tindak Lanjut Hasil Inspeksi) di Sistem BALIS INFARA (https://balis-infara.bapeten.go.id) sebagai bukti tindak lanjut hasil inspeksi. &lt;br /&gt;
 &lt;br /&gt;
 &lt;br&gt;</t>
  </si>
  <si>
    <t>Terdapat 2 (dua) unit Dosimeter saku namun jarang digunakan pada saat tindakan fluoroskopi dan intervensional dan tidak mencatat hasil dosis yang diterima</t>
  </si>
  <si>
    <t>-Memastikan bahwa pekerja radiasi menggunakan dosimeter saku pada saat tindakan fluoroskopi dan intervensional dan mencatat hasil bacaan dosimeter saku.&lt;br /&gt;
 &lt;br /&gt;
 Untuk menutup temuan, unggah surat komitmen manajemen berkaitan dengan penggunaan dosimeter saku melalui menu TLHI pada sistem Balis Infara 2.0 https://balis-infara.bapeten.go.id/ sebagai bukti tindak lanjut hasil inspeksi.&lt;br /&gt;
 &lt;br&gt;</t>
  </si>
  <si>
    <t>Pekerja radiasi di ruang fluoroskopi dan intervensional sudah memakai dosimeter saku dan hasil dosis sudah tercatat dalam kartu dosis dosimeter saku.</t>
  </si>
  <si>
    <t>Hasil evaluasi TLD badge pekerja radiasi belum tersedia dan belum direkap ke dalam kartu dosis.</t>
  </si>
  <si>
    <t>-Mengevaluasi TLD badge untuk periode 2026 dan merekap ke dalam kartu dosis untuk masing-masing pekerja radiasi.&lt;br /&gt;
 &lt;br /&gt;
 Untuk menutup temuan, unggah hasil evaluasi TLD badge dan kartu dosis pekerja radiasi melalui menu TLHI pada sistem Balis Infara 2.0 https://balis-infara.bapeten.go.id/ sebagai bukti tindak lanjut hasil inspeksi.&lt;br /&gt;
 &lt;br&gt;</t>
  </si>
  <si>
    <t>belum mencatat dosis dari penguunaan pendose</t>
  </si>
  <si>
    <t>-Membuat rekap dosis dari hasil pembacaan pendose yang digunakan oleh Pekerja Radiasi.&lt;br /&gt;
 &lt;br /&gt;
 Untuk menutup temuan, unggah rekap dosis dari hasil pembacaan pendose melalui menu TLHI pada sistem Balis Infara 2.0 https://balis-infara.bapeten.go.id/ sebagai bukti tindak lanjut hasil inspeksi.&lt;br /&gt;
 &lt;br&gt;</t>
  </si>
  <si>
    <t>Kartu penacatatan pendose</t>
  </si>
  <si>
    <t>Hasil evaluasi dosis pekerja radiasi belum direkap ke dalam Kartu Dosis</t>
  </si>
  <si>
    <t>-Menyiapkan Kartu Dosis untuk masing-masing pekerja radiasi.&lt;br /&gt;
 &lt;br /&gt;
 Untuk menutup temuan, unggah Kartu Dosis pekerja radiasi melalui menu TLHI pada sistem Balis Infara 2.0 https://balis-infara.bapeten.go.id/ sebagai bukti tindak lanjut hasil inspeksi.&lt;br /&gt;
 &lt;br&gt;</t>
  </si>
  <si>
    <t>Tidak melakukan pencatatan dosis personal secara teratur dalam Kartu Dosis.</t>
  </si>
  <si>
    <t>Berikut catatan Dosis Personil Berikut kami lampirkan Hasil Evauasi TLD Periode tersebut April - Juni 2026</t>
  </si>
  <si>
    <t>PT Giandra Mitra Solusi telah rutin melakukan pemeriksaan kesehatan untuk seluruh Pekerja Radiasi, namun belum menyusun rekapitulasi resume/ kesimpulan hasilnya.</t>
  </si>
  <si>
    <t>-PT Giandra Mitra Solusi segera menyusun rekapitulasi resume/ kesimpulan hasil pemeriksaan kesehatan untuk seluruh Pekerja Radiasi.&lt;br /&gt;
 &lt;br /&gt;
 Untuk menutup temuan, unggah bukti rekapitulasi hasil pemeriksaan kesehatan dari seluruh Pekerja Radiasi tersebut pada menu TLHI (Tindak Lanjut Hasil Inspeksi) Balis Infara (https://balis-infara.bapeten.go.id) sebagai bukti tindak lanjut hasil inspeksi.&lt;br /&gt;
 &lt;br&gt;</t>
  </si>
  <si>
    <t>Tidak terdapat data pemantauan TLD kartu dosis dari seluruh Pekerja Radiasi di Global Arrow.</t>
  </si>
  <si>
    <t>-Kartu dosis ada di PT Senjaya Solusi Sekurindo.&lt;br /&gt;
 &lt;br /&gt;
 Untuk menutup temuan, unggah bukti dokumen kartu dosis dari seluruh Pekerja Radiasi tersebut pada menu TLHI (Tindak Lanjut Hasil Inspeksi) Balis Infara (https://balis-infara.bapeten.go.id) sebagai bukti tindak lanjut hasil inspeksi.&lt;br /&gt;
 &lt;br&gt;</t>
  </si>
  <si>
    <t>Belum terdapat kartu dosis dari seluruh Pekerja Radiasi.</t>
  </si>
  <si>
    <t>-UOB Property telah melakukan pemantauan dosis terhadap seluruh Pekerja Radiasi, namun belum menyusun kartu dosis.&lt;br /&gt;
 &lt;br /&gt;
 Untuk menutup temuan, unggah bukti dokumen kartu dosis dari seluruh Pekerja Radiasi tersebut pada menu TLHI (Tindak Lanjut Hasil Inspeksi) Balis Infara (https://balis-infara.bapeten.go.id) sebagai bukti tindak lanjut hasil inspeksi.&lt;br /&gt;
 &lt;br&gt;</t>
  </si>
  <si>
    <t>Perlu perbaikan kartu dosis yaitu perbaikan periode bacaan TLD dan jumlah Dosis per tahun.</t>
  </si>
  <si>
    <t>-Pelaku usaha agar melakukan perbaikan kartu dosis. &lt;br /&gt;
 &lt;br /&gt;
 Untuk menutup temuan unggah dokumen kartu dosis yang telah diperbaiki, melalui menu TLHI (Tindak Lanjut Hasil Inspeksi) di Sistem Balis Infara (https://balis_x0002_infara.bapeten.go.id) sebagai bukti tindak lanjut hasil inspeksi.&lt;br&gt;</t>
  </si>
  <si>
    <t>Kartu dosis telah diperbaiki sesuai catatan</t>
  </si>
  <si>
    <t>03.04.03</t>
  </si>
  <si>
    <t>Tidak mendokumentasikan hasil pemantauan kesehatan</t>
  </si>
  <si>
    <t>Tidak mendokumentasikan hasil pemantauan kesehatan dalam bentuk log book hasil pemantauan kesehatan pekerja</t>
  </si>
  <si>
    <t>Kartu Kesehatan setiap pekerja radiasi belum dibuat</t>
  </si>
  <si>
    <t>Surat Komitmen Pemeriksaan Kesehatan Pekerja Radiasi dan Kartu Kesehatan Pekerja Radiasi</t>
  </si>
  <si>
    <t>Kartu kesehatan untuk setiap pekerja radiasi belum dibuat</t>
  </si>
  <si>
    <t>-Pelaku Usaha segera membuat kartu kesehatan untuk setiap pekerja radiasi.&lt;br /&gt;
 &lt;br /&gt;
 Untuk menutup temuan, unggah kartu kesehatan pada menu TLHI (Tindak Lanjut Hasil Inspeksi) Balis Infara (https://balis-infara.bapeten.go.id) sebagai bukti tindak lanjut hasil inspeksi&lt;br /&gt;
 &lt;br&gt;</t>
  </si>
  <si>
    <t>Upload bukti kartu kesehatan pekerja radiasi</t>
  </si>
  <si>
    <t>Kartu Kesehatan untuk setiap pekerja radiasi belum tersedia</t>
  </si>
  <si>
    <t>-Pelaku Usaha segera membuat Kartu Kesehatan untuk setiap pekerja radiasi.&lt;br /&gt;
 &lt;br /&gt;
 Untuk menutup temuan, unggah kartu kesehatan pada menu TLHI (Tindak Lanjut Hasil Inspeksi) Balis Infara (https://balis-infara.bapeten.go.id) sebagai bukti tindak lanjut hasil inspeksi&lt;br&gt;</t>
  </si>
  <si>
    <t>Membuat kartu kesehatan personal untuk semua karyawan di bagian X-Ray</t>
  </si>
  <si>
    <t>Kartu kesehatan untuk setiap pekerja radiasi belum tersedia</t>
  </si>
  <si>
    <t>KARTU KESEHATAN RS SANTO BRROMEUS (2022-2026)HASIL MCU 6 DOKTER</t>
  </si>
  <si>
    <t>belum mendokumentasikan hasil pemantauan kesehatan untuk pekerja radiasi dalam bentuk kartu kesehatan untuk masing-masing pekerja radiasi</t>
  </si>
  <si>
    <t>Membuat Rekaman Hasil Pemantaun Kesehatan pekerja radiasi</t>
  </si>
  <si>
    <t>Membuat Rekaman Hasil Pemantauan Kesehatan Pekerja Radiasi</t>
  </si>
  <si>
    <t>belum mendokumentasikan hasil pemantauan kesehatan dalam bentuk kartu kesehatan</t>
  </si>
  <si>
    <t>Hasil pemantauan kesehatan pekerja radiasi belum secara eksplisit menyatakan layak atau tidak layak bekerja dengan radiasi.</t>
  </si>
  <si>
    <t>surat komitmen pemantauan kesehatan</t>
  </si>
  <si>
    <t>Hasil MCU belum secara eksplisit menyatakan layak atau tidak layak bekerja dengan radiasi.</t>
  </si>
  <si>
    <t>-Pelaku Usaha wajib melaksanakan pemantauan kesehatan untuk pekerja radiasi sesuai dengan Peraturan BAPETEN Nomor 6 Tahun 2010. Agar membuat Surat Komitmen yang ditandatangani Direktur yang menyatakan bahwa akan melaksanakan pemantauan kesehatan untuk pekerja radiasi sesuai dengan Peraturan BAPETEN Nomor 6 Tahun 2010.&lt;br /&gt;
 &lt;br /&gt;
 Untuk menutup temuan, unggah bukti berupa Surat Komitmen dari Direktur melalui menu TLHI (Tindak Lanjut Hasil Inspeksi) di Sistem Balis Infara (https://balis-infara.bapeten.go.id) sebagai bukti tindak lanjut hasil inspeksi.&lt;br&gt;</t>
  </si>
  <si>
    <t>Surat komitmen Pemantauan Kesehatan</t>
  </si>
  <si>
    <t>Belum melakukan perekaman hasil pemantauan kesehatan pekerja radiasi dalam bentuk Kartu Kesehatan.</t>
  </si>
  <si>
    <t>-Pelaku Usaha wajib untuk melakukan perekaman hasil pemantauan kesehatan pekerja radiasi dalam bentuk Kartu Kesehatan.&lt;br /&gt;
 &lt;br /&gt;
 Untuk menutup temuan, unggah bukti berupa Kartu Kesehatan melalui menu TLHI (Tindak Lanjut Hasil Inspeksi) di Sistem Balis Infara (https://balis-infara.bapeten.go.id) sebagai bukti tindak lanjut hasil inspeksi.&lt;br&gt;</t>
  </si>
  <si>
    <t>Hasil pemantauan kesehatan pekerja radiasi tidak dapat ditunjukkan dan tidak memiliki kartu kesehatan pekerja radiasi</t>
  </si>
  <si>
    <t>-Pelaku Usaha segera mengunggah hasil pemeriksaan kesehatan tahun 2025 seluruh pekerja radiasi dan membuat kartu kesehatan untuk masing-masing pekerja radiasi.&lt;br /&gt;
 &lt;br /&gt;
 Untuk menutup temuan, unggah bukti hasil pemeriksaan kesehatan dan kartu kesehatan pekerja radiasi melalui menu TLHI (Tindak Lanjut Hasil Inspeksi) di Sistem Balis Infara (https://balis-infara.bapeten.go.id) sebagai bukti tindak lanjut hasil inspeksi&lt;br /&gt;
 &lt;br&gt;</t>
  </si>
  <si>
    <t>Beberapa pekerja radiasi masih belum lengkap pencatatan kartu kesehatannya, contohnya perawat Siti Khoim Arodatin dan Hatijah.</t>
  </si>
  <si>
    <t>-Agar Pelaku Usaha memperbaiki dan melengkapi pencatatan kartu kesehatan.&lt;br /&gt;
 &lt;br /&gt;
 Untuk menutup temuan, pelaku usaha mengunggah foto kartu kesehatan atau file &lt;br&gt;</t>
  </si>
  <si>
    <t>Beberapa pekerja radiasi masih belum lengkap pencatatan kartu kesehatannya.</t>
  </si>
  <si>
    <t>-Agar Pelaku Usaha memperbaiki dan melengkapi pencatatan kartu kesehatan.&lt;br /&gt;
 &lt;br /&gt;
 Untuk menutup temuan, pelaku usaha mengunggah foto/file kartu kesehatan atau file sebagai Tindak Lanjut Hasil Inspeksi &lt;br&gt;</t>
  </si>
  <si>
    <t>Kartu kesehatan belum diisi dari tahun 2024, 2025, dan 2026.</t>
  </si>
  <si>
    <t>-Agar Pelaku Usaha memperbaiki kartu kesehatan.&lt;br /&gt;
 Untuk menutup temuan, pelaku usaha mengunggah dokumen kartu kesehatan yang sudah diperbaiki sebagai Tindak Lanjut Hasil Inspeksi di Sistem Balis Infara (https://balis-infara.bapeten.go.id) sebagai bukti tindak lanjut hasil inspeksi&lt;br /&gt;
 &lt;br&gt;</t>
  </si>
  <si>
    <t>Kartu kesehatan untuk setiap pekerja belum dibuat.</t>
  </si>
  <si>
    <t>-Agar Pelaku Usaha membuat kartu kesehatan untuk setiap pekerja radiasi.&lt;br /&gt;
 Untuk menutup temuan, pelaku usaha mengunggah kartu kesehatan sebagai Tindak Lanjut Hasil Inspeksi di Sistem Balis Infara (https://balis-infara.bapeten.go.id) sebagai bukti tindak lanjut hasil inspeksi.&lt;br&gt;</t>
  </si>
  <si>
    <t>terlampir kami sampaikan kartu kesehatan perorangan pekerja radiasi</t>
  </si>
  <si>
    <t>Kartu kesehatan untuk masing masing pekerja radiasi tidak ada</t>
  </si>
  <si>
    <t>Data pemantauan kesehatan pekerja radiasi belum dilakukan perekaman pada Kartu Kesehatan (sejak mulai bekerja – 2026).</t>
  </si>
  <si>
    <t>-Pelaku Usaha melakukan perekaman data pemantauan Kesehatan ke dalam Kartu Kesehatan sesuai petunjuk tim inspektur di lapangan.&lt;br&gt;</t>
  </si>
  <si>
    <t>Pemantauan Kesehatan PPR &amp; PKSR</t>
  </si>
  <si>
    <t>Belum melakukan perekaman data pemantauan kesehatan dalam bentuk Kartu Kesehatan untuk pekerja radiasi. Pemantauan kesehatan terakhir dilakukan Agustus 2025.</t>
  </si>
  <si>
    <t>-Pelaku Usaha membuat format Kartu Kesehatan dan melengkapi perekaman data sesuai petunjuk tim inspektur di lapangan.&lt;br&gt;</t>
  </si>
  <si>
    <t>Rekap hasil MCU</t>
  </si>
  <si>
    <t>Belum dilakukan perekaman data pemantauan kesehatan pekerja radiasi dalam bentuk Kartu Kesehatan. Pemantauan kesehatan pekerja radiasi dilakukan bulan Januari 2026 merupakan pemantauan kesehatan pekerja radiasi sebelum bekerja.</t>
  </si>
  <si>
    <t>-Pelaku Usaha membuat format Kartu Kesehatan dan melakukan perekaman data sesuai petunjuk tim inspektur di lapangan.&lt;br&gt;</t>
  </si>
  <si>
    <t>Format Kartu Kesehatan Pekerja Radiasi</t>
  </si>
  <si>
    <t>Hasil pemeriksaan kesehatan pekerja radiasi a.n. Hermawan Herjunanto belum mencantumkan resume / kesimpulan pemeriksaan.</t>
  </si>
  <si>
    <t>-Pelaku Usaha agar membuat surat komitmen untuk mencantumkan resume/kesimpulan pemeriksaan kesehatan pekerja radiasi.&lt;br /&gt;
 &lt;br /&gt;
 Unggah surat komitmen tersebut melalui menu TLHI (Tindak Lanjut Hasil Inspeksi) di Sistem BALIS INFARA (https://balis-infara.bapeten.go.id) sebagai bukti tindak lanjut hasil inspeksi.&lt;br /&gt;
 &lt;br /&gt;
 &lt;br&gt;</t>
  </si>
  <si>
    <t>Surat Pernyataan Komitmen MCU bagi petugas Radioterapi dan petugas yang terpapar radiasi</t>
  </si>
  <si>
    <t>Pemeriksaan kesehatan pekerja radiasi belum mencantumkan kesimpulan/resume hasil pemeriksaan kesehatan.</t>
  </si>
  <si>
    <t>-Pihak Instansi agar membuat komitmen untuk mencantumkan kesimpulan hasil pemeriksaan Kesehatan pekerja untuk memastikan pekerja radiasi sehat dan layak untuk bekerja.&lt;br /&gt;
 &lt;br /&gt;
 Unggah Surat Komitmen untuk memberikan kesimpulan hasil pemeriksaan Kesehatan pekerja (Tindak Lanjut Hasil Inspeksi) di Sistem BALIS INFARA (https://balis-infara.bapeten.go.id) sebagai bukti tindak lanjut hasil inspeksi.&lt;br /&gt;
 &lt;br /&gt;
 &lt;br /&gt;
 &lt;br&gt;</t>
  </si>
  <si>
    <t>Belum mendokumentasikan hasil pemeriksaan kesehatan pada kartu kesehatan</t>
  </si>
  <si>
    <t>-Menyediakan Kartu Kesehatan untuk seluruh pekerja radiasi.&lt;br /&gt;
 &lt;br /&gt;
 Untuk menutup temuan, unggah Kartu Kesehatan melalui menu TLHI pada sistem Balis Infara 2.0 https://balis-infara.bapeten.go.id/ sebagai bukti tindak lanjut hasil inspeksi.&lt;br /&gt;
 &lt;br&gt;</t>
  </si>
  <si>
    <t>Rekap Data Pemeriksaan Kesehatan Pekerja</t>
  </si>
  <si>
    <t>Tidak mendokumentasikan hasil pemantauan kesehatan dalam Kartu Kesehatan</t>
  </si>
  <si>
    <t>Rekaman Pemantauan Kesehatan Pekerja Radiasi</t>
  </si>
  <si>
    <t>pembaruan form pemantauan kesehatan personil PT Gintam Inspeksi tehnik</t>
  </si>
  <si>
    <t>Belum mendokumentasikan hasil pemantauan kesehatan dalam kartu Kesehatan</t>
  </si>
  <si>
    <t>Hasil pemantauan kesehatan sudah didokumentasikan dalam bentuk kartu kesehatan</t>
  </si>
  <si>
    <t>PT. Enseval Medika Prima telah rutin melakukan pemeriksaan kesehatan untuk seluruh Pekerja Radiasi, namun belum menyusun rekapitulasi resume/ kesimpulan hasilnya.</t>
  </si>
  <si>
    <t>-PT. Enseval Medika Prima segera menyusun rekapitulasi resume/ kesimpulan hasil pemeriksaan kesehatan untuk seluruh Pekerja Radiasi.&lt;br /&gt;
 &lt;br /&gt;
 Untuk menutup temuan, unggah bukti rekapitulasi hasil pemeriksaan kesehatan dari seluruh Pekerja Radiasi tersebut pada menu TLHI (Tindak Lanjut Hasil Inspeksi) Balis Infara (https://balis-infara.bapeten.go.id) sebagai bukti tindak lanjut hasil inspeksi.&lt;br&gt;</t>
  </si>
  <si>
    <t>PT. Enseval Medika Prima telah melakukan penyusunan rekapitulasi resume/kesimpulan hasil pemeriksaan kesehatan untuk seluruh Pekerja Radiasi sebagai tindak lanjut atas hasil inspeksi dan rekomendasi BAPETEN. Rekapitulasi tersebut disusun berdasarkan resume hasil pemeriksaan kesehatan (MCU) seluruh Pekerja Radiasi. Dokumen rekapitulasi resume hasil pemeriksaan kesehatan terlampir sebagai data dukung tindak lanjut dan diunggah pada Sistem Balis.</t>
  </si>
  <si>
    <t>Hasil pemeriksaan kesehatan belum dilengkapi dengan rekapitulasi dan resume/kesimpulan hasilnya.</t>
  </si>
  <si>
    <t>-UOB Property telah melakukan pemantauan/pemeriksaan kesehatan dari Pekerja Radiasi rutin setiap tahun, namun belum dilengkapi dengan rekapitulasi dan resume/ kesimpulan hasil kesehatan. &lt;br /&gt;
 &lt;br /&gt;
 Untuk menutup temuan, unggah bukti rekapitulasi dan resume/kesimpulan hasil pemeriksaan kesehatan dari seluruh Pekerja Radiasi tersebut pada menu TLHI (Tindak Lanjut Hasil Inspeksi) Balis Infara (https://balis-infara.bapeten.go.id) sebagai bukti tindak lanjut hasil inspeksi.&lt;br /&gt;
 &lt;br&gt;</t>
  </si>
  <si>
    <t>Belum terdapat rekapitulasi/dokumentasi data hasil pemantauan kesehatan dan pemeriksaan kesehatan dari seluruh Pekerja Radiasi.</t>
  </si>
  <si>
    <t>-BLU BPAFK Jakarta telah melakukan pemantauan/pemeriksaan kesehatan dari Pekerja Radiasi rutin setiap tahun, namun belum menyusun rekapitulasi/ dokumentasi data hasil pemantauan kesehatan dari seluruh Pekerja Radiasi. &lt;br /&gt;
 &lt;br /&gt;
 Untuk menutup temuan, unggah bukti dokumen rekapitulasi/dokumentasi data hasil pemantauan kesehatan dari seluruh Pekerja Radiasi tersebut pada menu TLHI (Tindak Lanjut Hasil Inspeksi) Balis Infara (https://balis-infara.bapeten.go.id) sebagai bukti tindak lanjut hasil inspeksi.&lt;br /&gt;
 &lt;br&gt;</t>
  </si>
  <si>
    <t>03.04.04</t>
  </si>
  <si>
    <t>Hasil pemeriksaan kesehatan belum lengkap</t>
  </si>
  <si>
    <t>Tidak terdapat hasil pemeriksaan kesehatan dan rekapitulasi resume/kesimpulan hasilnya.</t>
  </si>
  <si>
    <t>-Hasil pemeriksanaan dan rekapitulasi hasil pemeriksaan kesehatan ada di PT Senjaya Solusi Sekurindo.&lt;br /&gt;
 &lt;br /&gt;
 Untuk menutup temuan, unggah bukti hasil pemeriksanaan dan rekapitulasi hasil pemeriksaan kesehatan dari seluruh Pekerja Radiasi tersebut pada menu TLHI (Tindak Lanjut Hasil Inspeksi) Balis Infara (https://balis-infara.bapeten.go.id) sebagai bukti tindak lanjut hasil inspeksi.&lt;br /&gt;
 &lt;br&gt;</t>
  </si>
  <si>
    <t>03.05.05</t>
  </si>
  <si>
    <t>Jumlah peralatan tidak mencukupi</t>
  </si>
  <si>
    <t>Area yang berlokasi di samping ruangan bunker LINAC belum dilengkapi dengan tanda radiasi</t>
  </si>
  <si>
    <t>Sudah terpasang bahaya radiasi pada area publik disamping bunker LINAC</t>
  </si>
  <si>
    <t>Terdapat sertifikat kalibrasi untuk surveimeter Pehamed No. seri: 0337 yang telah habis masa berlakunya (20 Desember 2025).</t>
  </si>
  <si>
    <t>Kalibrasi Surveymeter Pehamed SN 0337</t>
  </si>
  <si>
    <t>Jumlah apron hanya 2 buah, sedangkan ruangan pemeriksaan sebanyak 5 ruangan.</t>
  </si>
  <si>
    <t>BUKTI PENGADAAN TLDBUKTI PENGADAAN APRON</t>
  </si>
  <si>
    <t>Terdapat kondisi:
 a. Beberapa ruangan radiologi tidak terpasang lampu merah, tanda radiasi, dan/atau lambang radiasi
 b. Tempat penyimpanan TLD kurang memadai
 b. Tempat penyimpanan Apron kurang memadai</t>
  </si>
  <si>
    <t>-RSHS segera melengkapi perlengkapan proteksi radiasi, yaitu:&lt;br /&gt;
 a. memasang lampu merah, tanda radiasi, dan/atau lambang radiasi&lt;br /&gt;
 b. menyediakan box tempat penyimpanan TLD&lt;br /&gt;
 c. menyediakan tempat penyimpanan Apron.&lt;br /&gt;
 &lt;br /&gt;
 Untuk menutup temuan, unggah bukti foto pemenuhan perlengkapan proteksi radiasi tersebut pada menu TLHI (Tindak Lanjut Hasil Inspeksi) Balis Infara (https://balis-infara.bapeten.go.id) sebagai bukti tindak lanjut hasil inspeksi.&lt;br&gt;</t>
  </si>
  <si>
    <t>Foto Tanda radiasi, Lampu, tempat penyimpanan TLD dan Apron</t>
  </si>
  <si>
    <t>Jumlah tabir Pb untuk perisai radiasi pemeriksaan dengan menggunakan pesawat sinar-X mobile di ruang HCU hanya tersedia 1 (satu) unit yang diperuntukkan untuk pekerja radiasi, namun untuk perisai radiasi bagi pasien di sekitar pasien yang diperiksa belum disediakan Tabir Pb.</t>
  </si>
  <si>
    <t>-Pelaku Usaha segera mengadakan 2 (dua) unit Tabir Pb.&lt;br /&gt;
 &lt;br /&gt;
 Untuk menutup temuan, unggah bukti pengadaan 2 (dua) Tabir Pb tersebut pada menu TLHI (Tindak Lanjut Hasil Inspeksi) Balis Infara (https://balis-infara.bapeten.go.id) sebagai bukti tindak lanjut hasil inspeksi&lt;br&gt;</t>
  </si>
  <si>
    <t>Masih dalam proses pengadaan alatSudah diajukan untuk pengadaan dua buah tabir X-Ray. Sudah disetujui oleh Direktur Rumah Sakit. Sedang dalam proses pembelian.</t>
  </si>
  <si>
    <t>Dosimeter Aktif (Baca Langsung), merk: Ecotest, tipe: DKG-21, no. seri: N2000201 tidak ditemukan di lapangan.</t>
  </si>
  <si>
    <t>-Pelaku Usaha segera mencari dan memberikan keterangan status dosimeter aktif tersebut dan lampirkan foto dosimeter tersebut.&lt;br /&gt;
 &lt;br /&gt;
 Untuk menutup temuan, unggah surat keterangan status dosimeter aktif dan bukti foto pada menu TLHI (Tindak Lanjut Hasil Inspeksi) Balis Infara (https://balis-infara.bapeten.go.id) sebagai bukti tindak lanjut hasil inspeksi.&lt;br /&gt;
 &lt;br /&gt;
 &lt;br&gt;</t>
  </si>
  <si>
    <t>Membuat daftar alat ukur dan statusnya serta revisi program proteksi radiasi untuk update mengenai alat ukur yang digunakan (Foto terlampir)</t>
  </si>
  <si>
    <t>Beberapa ruangan radiologi belum terpasang peringatan bahaya radiasi dan peringatan wanita hamil belum terpasang.</t>
  </si>
  <si>
    <t>-RS Santo Borromeus segera memasang peringatan bahaya radiasi dan peringatan wanita hamil untuk ruang radiologi yang belum terpasang.&lt;br /&gt;
 &lt;br /&gt;
 Untuk menutup temuan, unggah bukti pemasangan peringatan bahaya radiasi dan peringatan wanita hamil tersebut pada menu TLHI (Tindak Lanjut Hasil Inspeksi) Balis Infara (https://balis-infara.bapeten.go.id) sebagai bukti tindak lanjut hasil inspeksi.&lt;br&gt;</t>
  </si>
  <si>
    <t>TANDA BAHAYA RADIASI DAN PERINGATAN IBU HAMIL</t>
  </si>
  <si>
    <t>Trust Pratama Gemilang</t>
  </si>
  <si>
    <t>Grand Cilegon Residance Cluster Bougenville, Jl. Heliconia 1A No. 37 RT 001 RW 013, Cibeber, Cibeber</t>
  </si>
  <si>
    <t>Grand Cilegon Residance Cluster Bougenville, Jl. Heliconia 1A No. 37 RT 001 RW 013, Cibeber, Cibeber,Cilegon,Banten</t>
  </si>
  <si>
    <t>00152.01.14248.06.1.0626</t>
  </si>
  <si>
    <t>- Tang potong tangkai panjang baru tersedia 1 buah.
 - Perlu melapisi tutup bunker dengan lapisan Pb</t>
  </si>
  <si>
    <t>-Menambahkan 1 (satu) tang potong tangkai panjang untuk penggunaan 2 (dua) kamera radiografi dan menambahkan lapisan Pb pada pemukaan tutup bunker&lt;br /&gt;
 &lt;br /&gt;
 Untuk menutup temuan, unggah bukti foto tambahan 1 (satu) tang potong tangkai panjang dan penambahan lapisan Pb pada pemukaan tutup bunker di atas melalui menu TLHI (Tindak Lanjut Hasil Inspeksi) di Sistem Balis Infara (https://balisinfara.bapeten.go.id) sebagai bukti tindak lanjut hasil inspeksi.&lt;br /&gt;
 &lt;br&gt;-Menambahkan lapisan Pb pada pemukaan tutup bunker&lt;br /&gt;
 &lt;br /&gt;
 Untuk menutup temuan, unggah bukti foto tutup bunker yang telah diperbaiki di atas melalui menu TLHI (Tindak Lanjut Hasil Inspeksi) di Sistem Balis Infara (https://balis-infara.bapeten.go.id) sebagai bukti tindak lanjut hasil inspeksi&lt;br /&gt;
 &lt;br&gt;</t>
  </si>
  <si>
    <t>Telah menambahkan 1 (satu) tang potong tangkai panjang untuk penggunaan 2 (dua) kamera radiografiTelah menambahkan lapisan Pb pada pemukaan tutup bunker</t>
  </si>
  <si>
    <t>Tang potong tangkai panjang baru tersedia 1 buah, tidak sesuai dengan jumlah kamera gamma yang dimiliki.</t>
  </si>
  <si>
    <t>-Menambahkan 2 (dua) tang potong tangkai panjang untuk penggunaan 3 (tiga) kamera radiografi &lt;br /&gt;
 &lt;br /&gt;
 Untuk menutup temuan, unggah bukti foto tambahan 2 (dua) tang potong tangkai panjang di atas melalui menu TLHI (Tindak Lanjut Hasil Inspeksi) di Sistem Balis Infara (https://balis-infara.bapeten.go.id) sebagai bukti tindak lanjut hasil inspeksi&lt;br&gt;</t>
  </si>
  <si>
    <t>Seluruh peralatan pemantau dosis aktif perorangan (dosimeter bacaan langsung) sedang dilakukan proses kalibrasi secara bersamaan, sehingga tidak ada dosimeter bacaan langsung yang dapat digunakan oleh pekerja radiasi di fasilitas radiologi intervensional.</t>
  </si>
  <si>
    <t>-Kode Temuan 3.05.05&lt;br /&gt;
 Pelaku Usaha agar mengatur penggunaan dosimeter bacaan langsung yang dikalibrasi agar tidak terjadi kekosongan penggunaan dosimeter bacaan langsung di fasilitas intervensional.&lt;br /&gt;
 &lt;br /&gt;
 Dokumen SPO penjadwalan kalibrasi dosimeter bacaan langsung diunggah di Sistem Balis Infara (https://balis-infara.bapeten.go.id) pada menu TLHI (Tindak Lanjut Hasil Inspeksi) sebagai bukti tindak lanjut hasil inspeksi.&lt;br /&gt;
 &lt;br&gt;</t>
  </si>
  <si>
    <t>SPO PENJADWALAN KALIBRASI DOSIMETER BACAAN
 LANGSUNG</t>
  </si>
  <si>
    <t>Kondisi izin : 
 TLD Lensa Mata untuk pekerja radiasi yang mengoperasikan pesawat radiologi intervensional paling lama 6
 (enam) bulan atau Desember 2023 sesuai dengan surat pernyataan Direkut RSUD Khidmat Sehat Afiat Kota Depok tertanggal 26 Juli 2023. TLD Lensa mata baru tersedia dibulan januari tahun 2026. Sebanyak 12 pasang TLD lensa mata.
 Berdasarkan dari Keputusan direktur rumah sakit nomor 100.3.3/0495/RSUDKISA/2026 untuk pengguna TLD Lensa mata sebanyak 20 pekerja radiasi Intervensional C-ARM dan Cath Lab. Baru tersedia 12 TLD Lensa mata masih kurang 8 TLD Lensa mata.</t>
  </si>
  <si>
    <t>-Kode Temuan 3.05.05&lt;br /&gt;
 Pelaku Usaha agar segera merealisasikan kekurangan ketersediaan TLD Lensa mata, dimana masih kurang 8 (delapan) unit TLD Lensa mata.&lt;br /&gt;
 &lt;br /&gt;
 Bukti ketersediaan TLD Lensa mata sebanyak 8 (delapan) unit untuk pengadaan baru disertai dengan foto unitnya dapat diunggah di Sistem Balis Infara (https://balis-infara.bapeten.go.id) melalui menu TLHI (Tindak Lanjut Hasil Inspeksi) sebagai bukti tindak lanjut hasil inspeksi.&lt;br&gt;</t>
  </si>
  <si>
    <t>Ketersediaan TLD Lensa mata baru disertai dengan foto unit.</t>
  </si>
  <si>
    <t>Bungkusan pengangkutan dan pembungkus luar tersedia, namun untuk pelabelan bungkusan pengiriman radiofarmaka belum mencantumkan UN Number.</t>
  </si>
  <si>
    <t>Perlu tambahan dan perbaikan untuk pengoperasian CCTV:
 • Agar menambahkan CCTV yang mengarah ke belakang dan samping bunker.
 • Agar mengoperasikan penyimpanan CCTV selama 24 jam dan memastikan rekaman CCTV dapat dilihat sampai dengan 30 hari.</t>
  </si>
  <si>
    <t>Penambahan CCTV dan Pemantauan 24 jam selama 1 bulan</t>
  </si>
  <si>
    <t>Perlu tambahan dan perbaikan untuk pengoperasian CCTV:
 • Agar menambahkan CCTV yang mengarah ke belakang bunker dan samping kanan bunker.
 • Agar mengoperasikan penyimpanan CCTV selama 24 jam dan memastikan rekaman CCTV dapat dilihat sampai dengan 30 hari.</t>
  </si>
  <si>
    <t>Sudah terpasang CCTV sesuai dengan arahan sebagai bukti pemasangan kami lampirkan layar monitor</t>
  </si>
  <si>
    <t>03.07.01</t>
  </si>
  <si>
    <t>Semua dokumen dan rekaman tidak ada</t>
  </si>
  <si>
    <t>Pada logbook pasien tidak tersedia keterangan berat badan dan keterangan pengulangan penyinaran.</t>
  </si>
  <si>
    <t>-Kode Temuan 3.07.01&lt;br /&gt;
 Pelaku Usaha agar memperbaiki logbook pasien dengan menambahkan keterangan berat badan dan pengulangan penyinaran.&lt;br /&gt;
 &lt;br /&gt;
 Logbook pasien yang sudah diperbaiki diunggah di Sistem Balis Infara (https://balis-infara.bapeten.go.id) melalui menu TLHI (Tindak Lanjut Hasil Inspeksi) sebagai bukti tindak lanjut hasil inspeksi.&lt;br /&gt;
 &lt;br&gt;-Kode Temuan 3.07.02&lt;br /&gt;
 Pelaku usaha agar menyusun SPO untuk pasien kontras pada penggunaan modalitas radiografi umum.&lt;br /&gt;
 &lt;br /&gt;
 Pelaku usaha agar memperbaiki SPO penggunaan alat untuk modalitas C-Arm Angiography.&lt;br /&gt;
 &lt;br /&gt;
 SPO penggunaan alat untuk modalitas C-Arm Angiography dan SPO untuk pasien kontras yang sudah diperbaiki diunggah di Sistem Balis Infara (https://balis-infara.bapeten.go.id) melalui menu TLHI (Tindak Lanjut Hasil Inspeksi) sebagai bukti tindak lanjut hasil inspeksi.&lt;br /&gt;
 &lt;br /&gt;
 &lt;br /&gt;
 &lt;br&gt;-Kode Temuan 3.07.03&lt;br /&gt;
 Pelaku Usaha agar memperbaiki Program Proteksi dan Keselamatan Radiasi dengan memasukan nilai pembatas dosis pada tahap operasi, yaitu menggunakan dosis pada kuartil ke-3 dari sebaran data dosis tahunan pekerja pada kurun waktu tertentu.&lt;br /&gt;
 &lt;br /&gt;
 Pelaku Usaha agar memperbaiki Program Proteksi dan Keselamatan Radiasi dengan memperbaiki penetapan nilai sesuai rekomendasi inspektur.&lt;br /&gt;
 &lt;br /&gt;
 Program Proteksi dan Keselamatan Radiasi yang sudah diperbaiki diunggah di Sistem Balis Infara (https://balis-infara.bapeten.go.id) pada menu TLHI (Tindak Lanjut Hasil Inspeksi) sebagai bukti tindak lanjut hasil inspeksi.&lt;br /&gt;
 &lt;br&gt;</t>
  </si>
  <si>
    <t>LOG BOOK PENERIMAAN PASIEN DENGAN PENAMBAHAN KETERANGAN BERAT BADAN DAN PENGULANGAN FOTO</t>
  </si>
  <si>
    <t>Belum ada pelatihan proteksi radiasi rutin untuk pekerja radiasi.</t>
  </si>
  <si>
    <t>-Agar Pelaku Usaha memperbaiki program proteksi dan keselamatan radiasi.&lt;br /&gt;
 &lt;br /&gt;
 Untuk menutup temuan, pelaku usaha mengunggah dokumen program proteksi dan keselamatan radiasi yang sudah diperbaiki&lt;br&gt;-Agar pelaku usaha menyediakan pelatihan proteksi radiasi secara rutin bagi seluruh pekerja radiasi&lt;br /&gt;
 &lt;br /&gt;
 Untuk menutup temuan, pelaku usaha mengunggah komitmen pelaksanaan pelatihan proteksi radiasi bagi pekerja radiasi secara rutin &lt;br&gt;-Agar Pelaku Usaha menggunakan label radioaktif yang sesuai sehingga pekerja radiasi mengetahui adanya bahaya bahaya radiasi.&lt;br /&gt;
 &lt;br /&gt;
 Untuk menutup temuan, pelaku usaha mengunggah foto penggunaan label yang sesuai&lt;br&gt;</t>
  </si>
  <si>
    <t>03.07.02</t>
  </si>
  <si>
    <t>Sebagian dokumen dan rekaman tidak tersedia</t>
  </si>
  <si>
    <t>Tidak tersedia dokumen/rekaman:
 a. Prosedur pendamping pasien yang sesuai dengan ketentuan yang pada Peraturan BAPETEN Nomor 4 Tahun 2020 pasal 49.
 b. Prosedur penyinaran yang dilengkapi dengan tabel acuan data faktor eksposi yaitu nilai kV, mA/mAs, dan s.
 c. Laporan kendali kualitas rutin 
 d. Data inventarisasi pesawat sinar-X;
 e. Tabel Eksposi untuk pengoperasian pesawat sinar-X Radiologi Diagnostik yang mencantumkan nilai kV, mA/mAs, dan s;
 f. Prosedur penyinaran yang dilengkapi dengan tabel acuan data faktor eksposi yaitu nilai kV, mA/mAs, dan s.
 g. Logbook Pasien Radiologi agar dilengkapi dengan data dosis, data berat badan, serta data pengulangan penyinaran;
 h. Logbook perbaikan dan perawatan alat;
 i. Rekaman Pelatihan Personil baik secara internal maupun eksternal paling sedikit memuat informasi: 
 1. nama personel; 
 2. tanggal dan jangka waktu pelatihan; 
 3. topik yang diberikan; dan 
 4. fotokopi bukti pelatihan</t>
  </si>
  <si>
    <t>-RS. Bhayangkara Tk.III Manado wajib menyediakan dokumen-dokumen tersebut sesuai dengan rekomendasi tim Inspektur BAPETEN. &lt;br /&gt;
 &lt;br /&gt;
 Unggah dokumen-dokumen tersebut pada menu TLHI (Tindak Lanjut Hasil Inspeksi) BALIS INFARA (https://balis-infara.bapeten.go.id) sebagai bukti tindak lanjut hasil inspeksi.&lt;br /&gt;
 &lt;br&gt;-RS. Bhayangkara Tk.III Manado harus memperbaiki dokumen tersebut sesuai dengan rekomendasi tim Inspektur BAPETEN.&lt;br /&gt;
 &lt;br /&gt;
 Unggah dokumen yang telah diperbaiki tersebut pada menu TLHI (Tindak Lanjut Hasil Inspeksi) Balis Infara (https://balis-infara.bapeten.go.id) sebagai bukti tindak lanjut hasil inspeksi.&lt;br /&gt;
 &lt;br&gt;</t>
  </si>
  <si>
    <t>Tidak tersedia dokumen/rekaman:
 a. Prosedur penyinaran untuk pasien hamil atau diduga hamil;
 b. Prosedur penyinaran untuk pasien anak-anak;
 c. Prosedur pendamping pasien yang sesuai dengan ketentuan yang pada Peraturan BAPETEN Nomor 4 Tahun 2020 pasal 49.
 d. Prosedur penyinaran yang dilengkapi dengan tabel acuan data faktor eksposi yaitu nilai kV, mA/mAs, dan s.
 e. Laporan kendali kualitas rutin untuk pesawat CT-Scan dan Fluoroskopi Intervensional (C-Arm dan Cathlab).
 f. Data inventarisasi pesawat sinar-X;
 g. Tabel Eksposi untuk pengoperasian pesawat sinar-X Radiologi Diagnostik yang mencantumkan nilai kV, mA/mAs, dan s;
 h. Prosedur penyinaran yang dilengkapi dengan tabel acuan data faktor eksposi yaitu nilai kV, mA/mAs, dan s.
 i. Logbook Pasien Radiologi agar dilengkapi dengan data dosis, data berat badan, serta data pengulangan penyinaran;
 j. Log book hasil pembacaan dosis baca langsung pada penggunaan alat radiologi intervensional (Cathlab, C-Arm)
 k. Logbook perbaikan dan perawatan alat;</t>
  </si>
  <si>
    <t>-RSUD ODSK Provinsi Sulawesi Utara wajib menyediakan dokumen-dokumen tersebut sesuai dengan rekomendasi tim Inspektur BAPETEN. &lt;br /&gt;
 &lt;br /&gt;
 Unggah dokumen-dokumen tersebut pada menu TLHI (Tindak Lanjut Hasil Inspeksi) Balis Infara (https://balis-infara.bapeten.go.id) sebagai bukti tindak lanjut hasil inspeksi.&lt;br /&gt;
 &lt;br&gt;-RSUD ODSK Provinsi Sulawesi Utara harus memperbaiki dokumen tersebut sesuai dengan rekomendasi tim Inspektur BAPETEN.&lt;br /&gt;
 &lt;br /&gt;
 Unggah dokumen yang telah diperbaiki tersebut pada menu TLHI (Tindak Lanjut Hasil Inspeksi) Balis Infara (https://balis-infara.bapeten.go.id) sebagai bukti tindak lanjut hasil inspeksi.&lt;br /&gt;
 &lt;br&gt;</t>
  </si>
  <si>
    <t>1. Pekerja Radiasi (Radiofarmasis) a.n. apt. Esther Karina Naomi Tandayu, S. Farm. belum mengikuti pelatihan magang di RS lain yang memiliki fasilitas layanan farmasi kedokteran nuklir yang telah established.
 2. Tidak tersedia dokumen/rekaman:
 a. Rekaman/ logbook pengukuran paparan radiasi pada tangki penampungan limbah radioaktif cair;
 b. Rekaman/logbook pengukuran pemantauan tangan, kaki dan pakaian pekerja radiasi oleh PPR;
 c. Prosedur penggunaan Surveimeter gamma dan kontaminasi;
 d. Prosedur Dosis Pekerja Melebihi NBD;
 e. Prosedur Pemantauan Dosis Pekerja Radiasi;
 f. Prosedur Pemeriksaan Pada Wanita Hamil atau dicurigai Hamil;
 g. Prosedur Pemantauan Kesehatan Pekerja Radiasi;
 h. Prosedur Uji Paparan Untuk Rilis Pasien.</t>
  </si>
  <si>
    <t>-BLU RSUP. Prof. Dr. R.D. Kandou Manado memastikan bahwa pekerja radiasi mendapatkan pelatihan magang di RS lain yang memiliki fasilitas layanan farmasi kedokteran nuklir yang telah established. Untuk itu, diperlukan surat komitmen dari BLU RSUP. Prof. Dr. R.D. Kandou Manado yang menyatakan, bahwa RS akan melakukan pelatihan magang yang memiliki fasilitas layanan farmasi kedokteran nuklir yang telah established.&lt;br /&gt;
 &lt;br /&gt;
 Unggah surat komitmen bahwa BLU RSUP. Prof. Dr. R.D. Kandou Manado akan mengikuti pelatihan magang yang memiliki fasilitas layanan farmasi kedokteran nuklir yang telah established pada menu TLHI (Tindak Lanjut Hasil Inspeksi) BALIS INFARA (https://balis-infara.bapeten.go.id) sebagai bukti tindak lanjut hasil inspeksi.&lt;br /&gt;
 &lt;br&gt;-BLU RSUP. Prof. Dr. R.D. Kandou Manado wajib menyediakan dokumen dan rekaman tersebut sesuai dengan rekomendasi tim Inspektur BAPETEN. &lt;br /&gt;
 &lt;br /&gt;
 Unggah dokumen-dokumen tersebut pada menu TLHI (Tindak Lanjut Hasil Inspeksi) BALIS INFARA (https://balis-infara.bapeten.go.id) sebagai bukti tindak lanjut hasil inspeksi.&lt;br /&gt;
 &lt;br&gt;-BLU RSUP. Prof. Dr. R.D. Kandou Manado harus memperbaiki dokumen tersebut sesuai dengan rekomendasi tim Inspektur BAPETEN.&lt;br /&gt;
 &lt;br /&gt;
 Unggah dokumen yang telah diperbaiki tersebut pada menu TLHI (Tindak Lanjut Hasil Inspeksi) BALIS INFARA (https://balis-infara.bapeten.go.id) sebagai bukti tindak lanjut hasil inspeksi.&lt;br /&gt;
 &lt;br&gt;</t>
  </si>
  <si>
    <t>Tidak tersedia dokumen/rekaman:
 a. Data inventarisasi pesawat radioterapi;
 b. Prosedur kedaruratan bila listrik padam, sumber Co-60 stuck, gempa dan kedaruratan lainnya yang terbaru;
 c. Data dokumen komprehensif secara digital untuk:
 • Data Kendali Kualitas (QC) Peralatan Radioterapi, baik Linac, Teleterapi Co-60, CT-Simulator, Brakhiterapi baik harian, bulanan maupun tahunan;
 • Laporan Pemantauan Daerah kerja baik menggunakan surveymeter gamma maupun neutron.</t>
  </si>
  <si>
    <t>-BLU RSUP. Prof. Dr. R.D. Kandou Manado wajib menyediakan dan melakukan perbaikan dokumen dan rekaman: sesuai dengan rekomendasi tim Inspektur BAPETEN. &lt;br /&gt;
 &lt;br /&gt;
 &lt;br /&gt;
 Unggah dokumen-dokumen tersebut pada menu TLHI (Tindak Lanjut Hasil Inspeksi) BALIS INFARA (https://balis-infara.bapeten.go.id) sebagai bukti tindak lanjut hasil inspeksi.&lt;br /&gt;
 &lt;br&gt;-BLU RSUP Prof. Dr. R.D Kandou Manado agar menyiapkan data digital dokumentasi:&lt;br /&gt;
 • Kendali Kualitas (QC) Peralatan Radioterapi, baik Linac, Teleterapi Co-60, CT-Simulator, Brakhiterapi baik harian, bulanan maupun tahunan;&lt;br /&gt;
 • Laporan Pemantauan Daerah kerja baik menggunakan surveymeter gamma maupun neutron.&lt;br /&gt;
 &lt;br /&gt;
 Unggah Bukti digital data QC dan Laporan Pemantauan Daerah Kerja dalam bentuk digital tersebut pada menu TLHI (Tindak Lanjut Hasil Inspeksi) BALIS INFARA (https://balis-infara.bapeten.go.id) sebagai bukti tindak lanjut hasil inspeksi.&lt;br /&gt;
 &lt;br&gt;</t>
  </si>
  <si>
    <t>dilakukan perbaruan SPO Kedaruratandata inventaris alat ukur radioterapi berupa spreadsheet dan juga link gdrive untuk pengarsipan sertifikat kalibrasi</t>
  </si>
  <si>
    <t>Tidak tersedia dokumen/rekaman:
 a. Prosedur penyinaran menggunakan pesawat radiologi diagnostik portable 
 b. Rekaman pencatatan dosimeter perorangan (baca langsung)</t>
  </si>
  <si>
    <t>-Siloam Hospitals Manado wajib menyediakan dokumen tersebut sesuai dengan rekomendasi tim Inspektur BAPETEN. &lt;br /&gt;
 &lt;br /&gt;
 Unggah dokumen-dokumen tersebut pada menu TLHI (Tindak Lanjut Hasil Inspeksi) BALIS INFARA (https://balis infara.bapeten.go.id) sebagai bukti tindak lanjut hasil inspeksi. &lt;br /&gt;
 &lt;br /&gt;
 &lt;br&gt;-Siloam Hospitals Manado harus memperbaiki dokumen tersebut sesuai dengan rekomendasi tim Inspektur BAPETEN. &lt;br /&gt;
  &lt;br /&gt;
 Unggah dokumen yang telah diperbaiki tersebut pada menu TLHI (Tindak Lanjut Hasil Inspeksi) Balis Infara (https://balis infara.bapeten.go.id) sebagai bukti tindak lanjut hasil inspeksi. &lt;br&gt;</t>
  </si>
  <si>
    <t>Belum tersedia:
 1. SOP Pemeriksaan Pasien Wanita Hamil
 2. SOP Pendamping Pasien Anak (pediatrik)</t>
  </si>
  <si>
    <t>-Pelaku Usaha agar menyusun dokumen tersebut sesuai arahan tim Inspeksi.&lt;br /&gt;
 &lt;br /&gt;
 Unggah dokumen yang sudah disusun tersebut melalui menu TLHI (Tindak Lanjut Hasil Inspeksi) di Sistem Balis Infara (https://balis-infara.bapeten.go.id) sebagai bukti tindak lanjut hasil inspeksi.&lt;br /&gt;
 &lt;br&gt;-Pelaku Usaha agar melakukan perbaikan dokumen tersebut sesuai arahan tim Inspeksi.&lt;br /&gt;
 &lt;br /&gt;
 Unggah dokumen yang sudah diperbaiki tersebut melalui menu TLHI (Tindak Lanjut Hasil Inspeksi) di Sistem Balis Infara (https://balis-infara.bapeten.go.id) sebagai bukti tindak lanjut hasil inspeksi.&lt;br /&gt;
 &lt;br /&gt;
 &lt;br&gt;</t>
  </si>
  <si>
    <t>SOP IBU HAMIL DAN PENDAMPING ANAK</t>
  </si>
  <si>
    <t>- SOP Pemeriksaan Pasien Wanita Hamil
 - SOP Pemeriksaan Pasien Anak (pediatrik).
 - SOP Pendamping Pasien.
 - Rekaman pelatihan personel</t>
  </si>
  <si>
    <t>-Pelaku Usaha agar menyusun dokumen tersebut sesuai arahan tim Inspeksi.&lt;br /&gt;
 &lt;br /&gt;
 Unggah dokumen yang sudah disusun tersebut melalui menu TLHI (Tindak Lanjut Hasil Inspeksi) di Sistem Balis Infara (https://balis-infara.bapeten.go.id) sebagai bukti tindak lanjut hasil inspeksi.&lt;br /&gt;
 &lt;br&gt;-Pelaku Usaha agar melakukan perbaikan dokumen tersebut sesuai arahan tim Inspeksi.&lt;br /&gt;
 &lt;br /&gt;
 Unggah dokumen yang sudah diperbaiki tersebut melalui menu TLHI (Tindak Lanjut Hasil Inspeksi) di Sistem Balis Infara (https://balis-infara.bapeten.go.id) sebagai bukti tindak lanjut hasil inspeksi.&lt;br /&gt;
 &lt;br&gt;</t>
  </si>
  <si>
    <t>SOP Pemeriksaan Pasien Wanita HamilSOP Pemeriksaan Pasien Anak (pediatrik)SOP Pendamping PasienRekaman pelatihan personel</t>
  </si>
  <si>
    <t>Belum tersedia:
 - SOP Pemeriksaan Pasien Anak (pediatrik).</t>
  </si>
  <si>
    <t>SOP Pemeriksaan Pediatrik</t>
  </si>
  <si>
    <t>Tidak bisa menunjukkan:
 - Rekaman pelatihan personel.
 - SOP Pemeriksaan Pasien anak (pediatrik).</t>
  </si>
  <si>
    <t>-Pelaku Usaha agar menyediakan dokumen tersebut sesuai arahan tim Inspeksi.&lt;br /&gt;
 &lt;br /&gt;
 Unggah dokumen yang sudah disusun tersebut melalui menu TLHI (Tindak Lanjut Hasil Inspeksi) di Sistem Balis Infara (https://balis-infara.bapeten.go.id) sebagai bukti tindak lanjut hasil inspeksi.&lt;br /&gt;
 &lt;br /&gt;
 &lt;br&gt;-Pelaku Usaha agar melakukan perbaikan dokumen tersebut sesuai arahan tim Inspeksi.&lt;br /&gt;
 &lt;br /&gt;
 Unggah dokumen yang sudah diperbaiki tersebut melalui menu TLHI (Tindak Lanjut Hasil Inspeksi) di Sistem Balis Infara (https://balis-infara.bapeten.go.id) sebagai bukti tindak lanjut hasil inspeksi.&lt;br /&gt;
 &lt;br /&gt;
 &lt;br&gt;</t>
  </si>
  <si>
    <t>Telah melakukan Rekaman pelatihan Porsonel .
 dan Membuat SOP Pemeriksaan Pasien anak ( Pediatrik)SOP Pemeriksaan Pasien Anak ( Pediatrik)</t>
  </si>
  <si>
    <t>Belum tersedia:
 - SOP Pemeriksaan Pasien Anak (pediatrik).
 - Rekaman pelatihan personel.</t>
  </si>
  <si>
    <t>-Pelaku Usaha agar melakukan perbaikan dokumen tersebut sesuai arahan tim Inspeksi.&lt;br /&gt;
 Unggah dokumen yang sudah diperbaiki tersebut melalui menu TLHI (Tindak Lanjut Hasil Inspeksi) di Sistem Balis Infara (https://balis-infara.bapeten.go.id) sebagai bukti tindak lanjut hasil inspeksi.&lt;br /&gt;
 &lt;br&gt;-Pelaku Usaha agar menyusun dokumen tersebut sesuai arahan tim Inspeksi.&lt;br /&gt;
 &lt;br /&gt;
 Unggah dokumen yang sudah disusun tersebut melalui menu TLHI (Tindak Lanjut Hasil Inspeksi) di Sistem Balis Infara (https://balis-infara.bapeten.go.id) sebagai bukti tindak lanjut hasil inspeksi.&lt;br /&gt;
 &lt;br&gt;</t>
  </si>
  <si>
    <t>SOP PEMERIKSAAN PASIEN ANAK</t>
  </si>
  <si>
    <t>SOP penyinaran pada wanita hamil belum dibuat</t>
  </si>
  <si>
    <t>-Pelaku usaha agar membuat SOP penyinaran pada wanita hamil.&lt;br /&gt;
 &lt;br /&gt;
 Untuk menutup temuan, unggah dokumen berupa SOP penyinaran pada wanita hamil yang telah dibuat melalui menu TLHI (Tindak Lanjut Hasil Inspeksi) di Sistem Balis Infara (https://balis-infara.bapeten.go.id) sebagai bukti tindak lanjut hasil inspeksi&lt;br&gt;-Pelaku usaha agar memperbaiki dokumen Program Proteksi Radiasi sesuai dengan rekomendasi tim inspektur dalam catatan temuan.&lt;br /&gt;
 &lt;br /&gt;
 Untuk menutup temuan, unggah dokumen program proteksi radiasi yang sudah diperbaiki melalui menu TLHI (Tindak Lanjut Hasil Inspeksi) di Sistem Balis Infara (https://balis-infara.bapeten.go.id) sebagai bukti tindak lanjut hasil inspeksi.&lt;br&gt;</t>
  </si>
  <si>
    <t>SPO Penyinaran Wanita Hamil dan Dokumen PPR 2026 Update</t>
  </si>
  <si>
    <t>SOP penyinaran pada wanita hamil atau diduga hamil belum dibuat.</t>
  </si>
  <si>
    <t>-Pelaku usaha agar membuat SOP penyinaran pada wanita hamil atau diduga hamil.&lt;br /&gt;
 &lt;br /&gt;
 Untuk menutup temuan, unggah dokumen berupa SOP penyinaran pada wanita hamil yang telah dibuat melalui menu TLHI (Tindak Lanjut Hasil Inspeksi) di Sistem Balis Infara (https://balis-infara.bapeten.go.id) sebagai bukti tindak lanjut hasil inspeksi.&lt;br /&gt;
 &lt;br&gt;-Pelaku usaha agar memperbaiki dokumen Program Proteksi Radiasi sesuai dengan rekomendasi tim inspektur dalam catatan temuan.&lt;br /&gt;
 &lt;br /&gt;
 Untuk menutup temuan, unggah dokumen program proteksi radiasi yang sudah diperbaiki melalui menu TLHI (Tindak Lanjut Hasil Inspeksi) di Sistem Balis Infara (https://balis-infara.bapeten.go.id) sebagai bukti tindak lanjut hasil inspeksi.&lt;br&gt;</t>
  </si>
  <si>
    <t>SOP PEMERIKSAAN IBU HAMILMemperbaiki Dokumen Program Proteksi Radiasi yang terdiri dari No Seri Alat Mammografi, Perhitungan Dosis Pekerja Radiasi Menggunakan Kuartil Tiga</t>
  </si>
  <si>
    <t>Uji kesesuaian pesawat sinar-X:
 1. Pesawat sinar-X Shimadzu, tipe: AD110P-200H, no seri: 8M6503 dilakukan uji kesesuaian pesawat sinar-X pada tanggal 16 Desember 2025 oleh BPAFK Jakarta dengan hasil Notisi Tidak Andal (Laju Dosis Input Image Intensifier (II) dan Kesesuaian Area Berkas Sinar X pada Permukaan Input II dengan Area Efektif Monitor, hasilnya tidak Lolos. Saat ini pesawat sinar-X tidak digunakan.
 2. Pesawat sinar-X Siemens, tipe: X22, no seri: 13A310 tidak dilakukan uji kesesuaian pesawat sinar-X dikarenakan lampu kolimasi mati (uji kesesuaian terakhir tanggal 11 Oktober 2022). Saat ini pesawat sinar-X tidak digunakan.
 3. Pesawat sinar-X Philips, tipe: Duo Diagnost, no seri: 11070046 tidak dilakukan uji kesesuaian pesawat sinar-X dikarenakan sinar-X tidak keluar (rusak) (uji kesesuaian terakhir tanggal 13 Oktober 2022). Saat ini pesawat sinar-X tidak digunakan.
 4. Pesawat sinar-X Villa Sistemi Medicali, tipe: Endograph DC, no. seri: 29170065 tidak dilakukan uji kesesuaian pesawat sinar-X dikarenakan ada komponen tabung sinar-X yang rusak (uji kesesuaian terakhir tanggal 12 Oktober 2022). Saat ini pesawat sinar-X tidak digunakan.</t>
  </si>
  <si>
    <t>-RS Santo Borromeus segera menetapkan status pesawat sinar-X (perbaikan atau penghapusan) dan melakukan uji kesesuaian pesawat sinar-X terhadap pesawat sinar-X yang akan digunakan.&lt;br /&gt;
 &lt;br /&gt;
 Untuk menutup temuan, unggah bukti status pesawat sinar-X dan pelaksanaan uji kesesuaian pesawat sinar-X pada menu TLHI (Tindak Lanjut Hasil Inspeksi) Balis Infara (https://balis-infara.bapeten.go.id) sebagai bukti tindak lanjut hasil inspeksi.&lt;br&gt;-RS Santo Borromeus segera memperbaiki Dokumen Program Proteksi dan Keselamatan Radiasi&lt;br /&gt;
 &lt;br /&gt;
 Untuk menutup temuan, unggah bukti Dokumen Program Proteksi dan Keselamatan Radiasi update pada menu TLHI (Tindak Lanjut Hasil Inspeksi) Balis Infara (https://balis-infara.bapeten.go.id) sebagai bukti tindak lanjut hasil inspeksi&lt;br&gt;</t>
  </si>
  <si>
    <t>PROGRAM PROTEKSI RADIASI YANG TELAH DIREVISI PENETAPAN STATUS 4 PESAWAT (DUODIAGNOST, VILLA ENDOGRAPH, SIEMENS POLYMOBILE 1 DAN SHIMADZU OPESCOPE)</t>
  </si>
  <si>
    <t>logbook perbaikan dan perawatan belum tersedia</t>
  </si>
  <si>
    <t>-Pelaku Usaha agar membuat rekaman logbook perbaikan dan perawatan untuk tiap Sumber Radiasi Pengion.&lt;br /&gt;
 Unggah Logbook Perbaikan dan Perawatan pada menu TLHI (Tindak Lanjut Hasil Inspeksi) BALIS INFARA (https://balis-infara.bapeten.go.id) sebagai bukti tindak lanjut hasil inspeksi.&lt;br&gt;</t>
  </si>
  <si>
    <t>Membuat Log Book Perawatan dan Perbaikan Mesin</t>
  </si>
  <si>
    <t>Membuat Log Book Perawatan Mesin untuk Mesin XRF Hitachi FT150</t>
  </si>
  <si>
    <t>1. laporan visitasi PPR
 2. SOP Pengoperasian alat
 3. SOP Penyinaran pasien anak-anak
 4. SOP Pendamping Pasien
 5. SOP Penyinaran Pasien Hamil / Pernyataan tidak menerima pasien hamil</t>
  </si>
  <si>
    <t>-Laboratorium Klinik Kimia Farma cabang Garut agar membuat dokumen dan rekaman tersebut sesuai dengan rekomendasi inspektur&lt;br /&gt;
 &lt;br /&gt;
 Unggah dokumen dan rekaman tersebut pada menu TLHI (Tindak Lanjut Hasil Inspeksi) BALIS INFARA (https://balis-infara.bapeten.go.id) sebagai bukti tindak lanjut hasil inspeksi&lt;br&gt;-Laboratorium Klinik Kimia Farma cabang Garut agar memperbaiki dokumen dan rekaman tersebut sesuai dengan rekomendasi inspektur&lt;br /&gt;
 &lt;br /&gt;
 Unggah dokumen dan rekaman tersebut pada menu TLHI (Tindak Lanjut Hasil Inspeksi) BALIS INFARA (https://balis-infara.bapeten.go.id) sebagai bukti tindak lanjut hasil inspeksi&lt;br&gt;</t>
  </si>
  <si>
    <t>1. Laporan Visitasi PPR2. SOP Pengoperasian alat dan alur pemeriksaan3. SOP Penyinaran Pasien Anak4-5. SOP Pendamping Pasien dan Pasien Hamil yang tertera dalam SOP Penanggulangan Bahaya Radiasi</t>
  </si>
  <si>
    <t>Belum ada SOP Penyinaran pasien anak-anak</t>
  </si>
  <si>
    <t>-RSU. Santosa Hospital Bandung Central agar membuat dokumen tersebut sesuai dengan rekomendasi inspektur&lt;br /&gt;
 &lt;br /&gt;
 Unggah dokumen dan rekaman tersebut pada menu TLHI (Tindak Lanjut Hasil Inspeksi) BALIS INFARA (https://balis-infara.bapeten.go.id) sebagai bukti tindak lanjut hasil inspeksi&lt;br&gt;-RSU. Santosa Hospital Bandung Central agar memperbaiki dokumen dan rekaman tersebut sesuai dengan rekomendasi inspektur&lt;br /&gt;
 &lt;br /&gt;
 Unggah dokumen dan rekaman tersebut pada menu TLHI (Tindak Lanjut Hasil Inspeksi) BALIS INFARA (https://balis-infara.bapeten.go.id) sebagai bukti tindak lanjut hasil inspeksi&lt;br&gt;</t>
  </si>
  <si>
    <t>Santosa Hospital Bandung Central telah melakukan perbaikan pada SPO Proteksi Radiasi dilengkapi dengan penyinaran pada pasien anak-anak.</t>
  </si>
  <si>
    <t>Sertifikat uji kesesuaian habis masa berlaku dan akan habis masa berlaku untuk alat :
 - Siemens Polymobile Plus sertifikat Uji kesesuaian habis masa berlaku 10 April 2026
 - Listem sertifikat Uji kesesuaian habis masa berlaku 20 Juni 2025
 - Siemens Cios sertifikat Uji kesesuaian habis masa berlaku 13 juni 2026
 - Belmont sertifikat Uji kesesuaian habis masa berlaku 13 Juni 2026</t>
  </si>
  <si>
    <t>-Pelaku usaha agar segera melakukan uji kesesuaian terhadap pesawat yang sudah habis masa berlaku dan akan berakhir masa berlaku sertifikat Uji Kesesuaiannya. Untuk menutup temuan unggah penjadwalan UK dan Bukti Bayar melalui menu TLHI (Tindak Lanjut Hasil Inspeksi) di Sistem Balis Infara (https://balis-infara.bapeten.go.id) sebagai bukti tindak lanjut hasil inspeksi. &lt;br&gt;-Pelaku usaha agar melakukan perbaikan dokumen program proteksi dan keselamatan radiasi. &lt;br /&gt;
 Untuk menutup temuan unggah dokumen yang telah diperbaiki melalui menu TLHI (Tindak Lanjut Hasil Inspeksi) di Sistem Balis Infara (https://balis-infara.bapeten.go.id) sebagai bukti tindak lanjut hasil inspeksi. &lt;br&gt;</t>
  </si>
  <si>
    <t>Jadwal Uji kesesuaian dari BPFK dan Bukti bayar DP Ukes Perbaikan dokumen Program Proteksi dan Keselamatan Radiasi revisi 9 tanggal 12 Juni 2026</t>
  </si>
  <si>
    <t>Tidak ada dokumen:
 1. Daftar Inventarisasi Zat Radioaktif dan/atau Pesawat sinar-X
 2. Log Book Perbaikan dan Perawatan</t>
  </si>
  <si>
    <t>-Pelaku usaha agar menyediakan: &lt;br /&gt;
 • Daftar Inventarisasi Zat Radioaktif dan/atau Pesawat sinar-X &lt;br /&gt;
 • Log Book Perbaikan dan Perawatan &lt;br /&gt;
 Untuk menutup temuan unggah dokumen tersebut melalui menu TLHI (Tindak Lanjut Hasil Inspeksi) di Sistem Balis Infara (https://balis-infara.bapeten.go.id) sebagai bukti tindak lanjut hasil inspeksi. &lt;br&gt;-Pelaku usaha agar melalukan perbaikan Dokumen program proteksi dan keselamatan radiasi. &lt;br /&gt;
  Untuk menutup temuan unggah dokumen program proteksi dan keselamatan radiasi yang telah diperbaiki melalui menu TLHI (Tindak Lanjut Hasil Inspeksi) di Sistem Balis Infara (https://balis-infara.bapeten.go.id) sebagai bukti tindak lanjut hasil inspeksi. &lt;br&gt;</t>
  </si>
  <si>
    <t>Log Book Inventaris AlatLog book Pemeliharaan Alat</t>
  </si>
  <si>
    <t>Tidak tersdia SOP:
 1. Penyinaran wanita hamil
 2. Penyinaran pasien anak</t>
  </si>
  <si>
    <t>-Pelaku usaha agar menyediakan SOP tersebut. Untuk menutup temuan unggah dokumen SOP tersebut menu TLHI (Tindak Lanjut Hasil Inspeksi) di Sistem Balis Infara (https://balisinfara.bapeten.go.id) sebagai bukti tindak lanjut hasil inspeksi. &lt;br&gt;-Pelaku usaha agar melakukan perbaikan dokumen program proteksi dan keselamatan radiasi. Untuk menutup temuan unggah dokumen yang telah diperbaiki melalui menu TLHI (Tindak Lanjut Hasil Inspeksi) di Sistem Balis Infara (https://balis-infara.bapeten.go.id) sebagai bukti tindak lanjut hasil inspeksi. &lt;br&gt;</t>
  </si>
  <si>
    <t>Untuk SOP pada wanita hamil dan penyinaran pada anak sudah ada</t>
  </si>
  <si>
    <t>Tidak tersedia dokumen dan rekaman:
 - SOP pendamping pasien
 - Daftar inventarisasi SRP 
 - Logbook perbaikan dan perawatan</t>
  </si>
  <si>
    <t>-Pelaku usaha agar menyusun dokumen yang belum tersedia.&lt;br /&gt;
 Untuk menutup temuan unggah dokumen tersebut melalui menu TLHI (Tindak Lanjut Hasil Inspeksi) di Sistem Balis Infara (https://balis-infara.bapeten.go.id) sebagai bukti tindak lanjut hasil inspeksi. &lt;br&gt;-Pelaku usaha agar melakukan perbaikan dokumen program proteksi sesuai rekomendasi. Untuk menutup temuan unggah dokumen yang telah diperbaiki melalui menu TLHI (Tindak Lanjut Hasil Inspeksi) di Sistem Balis Infara (https://balis-infara.bapeten.go.id) sebagai bukti tindak lanjut hasil inspeksi. &lt;br&gt;</t>
  </si>
  <si>
    <t>1. SPO Pendampingan Pasien Rontgen
 2. Daftar Inventaris SRP
 3. Log Book Perbaikan &amp; Perawatan</t>
  </si>
  <si>
    <t>Pemeriksaan kesehatan untuk Pekerja Radiasi dilakukan secara rutin, tetapi belum dibuat Kartu Kesehatan yang merangkum hasil pemeriksaan kesehatan setiap tahun.</t>
  </si>
  <si>
    <t>-Pelaku Usaha agar melengkapi rekaman pemeriksaan kesehatan dengan kartu kesehatan.&lt;br /&gt;
 &lt;br /&gt;
 Untuk menutup temuan, unggah bukti foto kartu dosis melalui menu TLHI (Tindak Lanjut Hasil Inspeksi) di Sistem Balis Infara (https://balis-infara.bapeten.go.id) sebagai bukti tindak lanjut hasil inspeksi.&lt;br&gt;-Pelaku Usaha agar memeperbaiki Program Proteksi dan Keselamatan Radiasi sesuai dengan rekomendasi inspektur.&lt;br /&gt;
 &lt;br /&gt;
 Untuk menutup temuan, unggah bukti perbaikan dokumen melalui menu TLHI (Tindak Lanjut Hasil Inspeksi) di Sistem Balis Infara (https://balis-infara.bapeten.go.id) sebagai bukti tindak lanjut hasil inspeksi.&lt;br&gt;</t>
  </si>
  <si>
    <t>Rekaman pemeriksaan kesehatan hasil MCU telah di tuangkan dalam kartu kesehatan</t>
  </si>
  <si>
    <t>a. Tidak tersedia rekaman pelatihan keselamatan radiasi bagi Pekerja Radiasi 
 b. Tidak tersedia rekaman pelatihan kedaruratan radiasi</t>
  </si>
  <si>
    <t>-Pelaku Usaha agar melakukan pelatihan secara rutin dan mendokumentasikan hasil pelaksanaan pelatihan.&lt;br /&gt;
 &lt;br /&gt;
 Untuk menutup temuan, unggah bukti pelaksanaan pelatihan melalui menu TLHI (Tindak Lanjut Hasil Inspeksi) di Sistem Balis Infara (https://balis-infara.bapeten.go.id) sebagai bukti tindak lanjut hasil inspeksi.&lt;br&gt;-Pelaku Usaha agar melakukan perbaikan Program Proteksi Radiasi disesuaikan dengan ketentuan terkini dan kondisi di lapangan saat ini.&lt;br /&gt;
 &lt;br /&gt;
 Untuk menutup temuan, unggah bukti dokumen Program Proteksi yang sudah direvisi melalui menu TLHI (Tindak Lanjut Hasil Inspeksi) di Sistem Balis Infara (https://balis-infara.bapeten.go.id) sebagai bukti tindak lanjut hasil inspeksi.&lt;br&gt;</t>
  </si>
  <si>
    <t>Telah dilakukan refresh training keselamatan radiasi pada bulan Agustus 2026Telah dilakukan revisi program proteksi radiasi</t>
  </si>
  <si>
    <t>1. Pelatihan tentang keselamatan dan proteksi radiasi belum dilakukan secara rutin untuk pekerja radiasi
 3. Tidak terdapat Laporan Kinerja PPR tahun 2025</t>
  </si>
  <si>
    <t>-Pelaku Usaha agar melakukan pelatihan tentang keselamatan dan proteksi radiasi secara rutin untuk pekerja radiasi dan dokumentasikan hasil pelaksanaan pelatihan.&lt;br /&gt;
 &lt;br /&gt;
 Untuk menutup temuan, unggah bukti pelaksanaan pelatihan melalui menu TLHI (Tindak Lanjut Hasil Inspeksi) di Sistem Balis Infara (https://balis-infara.bapeten.go.id) sebagai bukti tindak lanjut hasil inspeksi.&lt;br&gt;-Pelaku Usaha agar melakukan evaluasi kinerja PPR untuk tahun 2025 dan menuangkannya dalam laporan kinerja PPR.&lt;br /&gt;
 &lt;br /&gt;
 Untuk menutup temuan, unggah bukti Laporan Kinerja PPR tahun 2025 melalui menu TLHI (Tindak Lanjut Hasil Inspeksi) di Sistem Balis Infara (https://balis-infara.bapeten.go.id) sebagai bukti tindak lanjut hasil inspeksi.&lt;br&gt;-Pelaku Usaha agar melakukan perbaikan Program Proteksi Radiasi disesuaikan dengan ketentuan terkini dan kondisi di lapangan saat ini.&lt;br /&gt;
 &lt;br /&gt;
 Untuk menutup temuan, unggah bukti perbaikan dokumen Program Proteksi Radiasi melalui menu TLHI (Tindak Lanjut Hasil Inspeksi) di Sistem Balis Infara (https://balis-infara.bapeten.go.id) sebagai bukti tindak lanjut hasil inspeksi.&lt;br&gt;</t>
  </si>
  <si>
    <t>Laporan tahunan petugas proteksi radiasi telah disusun dan sudah di sampaikan ke manajement rumah sakit.
 Pelatihan tentang pengoptimalan proteksi radiasi sudah di lakukan secara intern dan sharing sesama personil.
 Pelatihan tentang keselamatan dan proteksi radiasi secara rutin minimal 2 bulan sekali untuk pekerja radiasi.</t>
  </si>
  <si>
    <t>Tidak dapat menunjukkan Daftar Inventaris (History) SRP terikini</t>
  </si>
  <si>
    <t>-Pelaku Usaha agar membuat Daftar Inventaris SRP terkini.&lt;br /&gt;
 &lt;br /&gt;
 Untuk menutup temuan, unggah bukti daftar inventaris SRP melalui menu TLHI (Tindak Lanjut Hasil Inspeksi) di Sistem Balis Infara (https://balis-infara.bapeten.go.id) sebagai bukti tindak lanjut hasil inspeksi.&lt;br&gt;-Pelaku Usaha agar secara lengkap mencatat di logbook inventaris kamera dalam bunker.&lt;br /&gt;
 &lt;br /&gt;
 Untuk menutup temuan, unggah bukti tindaklanjut melalui menu TLHI (Tindak Lanjut Hasil Inspeksi) di Sistem Balis Infara (https://balis-infara.bapeten.go.id) sebagai bukti tindak lanjut hasil inspeksi.&lt;br&gt;</t>
  </si>
  <si>
    <t>Daftar Invenrtarisasi SRP PT GRI Per juni 2026</t>
  </si>
  <si>
    <t>Belum menyusun Daftar Inventaris (History) Kamera dan SRP</t>
  </si>
  <si>
    <t>-Pelaku Usaha agar membuat Daftar Inventaris Kamera dan SRP.&lt;br /&gt;
 &lt;br /&gt;
 Untuk menutup temuan, unggah bukti perbaikan melalui menu TLHI (Tindak Lanjut Hasil Inspeksi) di Sistem Balis Infara (https://balis-infara.bapeten.go.id) sebagai bukti tindak lanjut hasil inspeksi.&lt;br&gt;-Pelaku Usaha agar meninjau kembali Nilai Pembatas Dosis dan menyesuaiakn penulisan Program Proteksi Radiasi sesuai dengan format pada Perba 4/2013, serta memperbaiki formulir pengukuran paparan radiasi.&lt;br /&gt;
 &lt;br /&gt;
 Untuk menutup temuan, unggah bukti perbaikan dokumen melalui menu TLHI (Tindak Lanjut Hasil Inspeksi) di Sistem Balis Infara (https://balis-infara.bapeten.go.id) sebagai bukti tidak lanjut hasil inspeksi.&lt;br&gt;</t>
  </si>
  <si>
    <t>Daftar Inventaris Kamera Gamma &amp; SRP</t>
  </si>
  <si>
    <t>1. Logbook perbaikan dan perawatan pesawat sinar-x belum tersedia
 2. Inventaris SRP belum tersedia
 3. Rekaman pelatihan proteksi radiasi pekerja radiasi belum tersedia</t>
  </si>
  <si>
    <t>-Pelaku Usaha agar menyiapkan rekaman yang belum tersedia.&lt;br /&gt;
 &lt;br /&gt;
 Untuk menutup temuan, unggah rekaman melalui menu TLHI (Tindak Lanjut Hasil Inspeksi) di Sistem Balis Infara (https://balis-infara.bapeten.go.id) sebagai bukti tindak lanjut hasil inspeksi.&lt;br /&gt;
 &lt;br&gt;-Pelaku Usaha agar memperbarui dokumen Program Proteksi dan Keselamatan Radiasi sesuai dengan masukan dari Tim Inspeksi.&lt;br /&gt;
 &lt;br /&gt;
 Untuk menutup temuan, unggah dokumen Program Proteksi dan Keselamatan Radiasi yang telah diperbarui melalui menu TLHI (Tindak Lanjut Hasil Inspeksi) di Sistem Balis Infara (https://balis-infara.bapeten.go.id) sebagai bukti tindak lanjut hasil inspeksi.&lt;br /&gt;
 &lt;br&gt;</t>
  </si>
  <si>
    <t>Belum tersedia dokumen/rekaman sebagai berikut:
 1. Sertifikat uji kesesuaian pesawat radiografi umum dan fluoroskopi (R/F) merek Apelem habis masa berlakunya sejak tanggal 6 Januari 2025.
 2. dokumen SOP untuk pasien anak.
 3. Kartu Kesehatan</t>
  </si>
  <si>
    <t>-Pelaku Usaha agar menyediakan dokumen/rekaman sebagai berikut:&lt;br /&gt;
 1. Sertifikat uji kesesuaian untuk Pesawat radiografi umum [Terpasang Tetap] dan Fluoroskopi [R/F] dengan merek Apelem.&lt;br /&gt;
 2. Dokumen SOP untuk pasien anak.&lt;br /&gt;
 3. Kartu Kesehatan pekerja radiasi&lt;br /&gt;
 &lt;br /&gt;
 Untuk menutup temuan, unggah bukti pengajuan uji kesesuaian/jadwal uji kesesuaian melalui menu TLHI (Tindak Lanjut Hasil Inspeksi) di Sistem Balis Infara (https://balisinfara.bapeten.go.id) sebagai bukti tindak lanjut hasil inspeksi.&lt;br&gt;-Pelaku Usaha agar melakukan perbaikan terhadap dokumen-dokumen tersebut sesuai catatan dan konfirmasi Inspektur saat inspeksi dilaksanakan.&lt;br /&gt;
 &lt;br /&gt;
 Untuk menutup temuan, unggah bukti dokumen-dokumen perbaikan tersebut di atas melalui menu TLHI (Tindak Lanjut Hasil Inspeksi) di Sistem Balis Infara (https://balisinfara.bapeten.go.id) sebagai bukti tindak lanjut hasil inspeksi.&lt;br /&gt;
 &lt;br&gt;</t>
  </si>
  <si>
    <t>Dokumen SPO Proteksi Radiasi untuk Pasien Anak-AnakKartu Kesehatan Pekerja Radiasi 2026</t>
  </si>
  <si>
    <t>Belum membuat dokumen dan rekaman sebagai berikut:
 - Kartu Kesehatan
 - Kartu Dosis
 - Inventarisasi kamera radiografi dan zat radioaktif.
 - Logbook penggunaan kamera radiografi dan zat radioaktif yang memuat antara lain: data kamera (merek, tipe, no. seri kamera); data zat radioaktif (tipe, no. seri, aktivitas pada tanggal tertentu) untuk memudahkan pemantauan.
 - Inventarisasi perlengkapan proteksi radiasi
 - Inventarisasi peralatan keamanan zat radioaktif
 - Pengukuran laju paparan radiasi pada tempat penyimpanan.
 - Logbook pemantauan laju paparan pada saat pengangkutan zat radioaktif</t>
  </si>
  <si>
    <t>-Pelaku Usaha membuat rekaman Kartu Kesehatan, Kartu Dosis, inventarisasi kamera dan zat radioaktif, Logbook penggunaan kamera radiografi, , inventarisasi perlengkapan proteksi radiasi, Inventarisasi peralatan keamanan zat radioaktif, dan pengukuran laju paparan radiasi pada tempat penyimpanan, dan logbook pemantauan laju paparan pada saat pengangkutan zat radioaktif.&lt;br /&gt;
 &lt;br /&gt;
 Untuk menutup temuan, unggah bukti rekaman-rekaman tersebut di atas melalui menu TLHI (Tindak Lanjut Hasil Inspeksi) di Sistem Balis Infara (https://balis-infara.bapeten.go.id) sebagai bukti tindak lanjut hasil inspeksi.&lt;br&gt;-Pelaku Usaha melakukan perbaikan/pembaruan dokumen:&lt;br /&gt;
 1. Program Proteksi dan Keselamatan Radiasi &lt;br /&gt;
 2. Program Keamanan Zat Radioaktif &lt;br /&gt;
 &lt;br /&gt;
 Untuk menutup temuan, unggah bukti dokumen-dokumen perbaikan tersebut di atas melalui menu TLHI (Tindak Lanjut Hasil Inspeksi) di Sistem Balis Infara (https://balis-infara.bapeten.go.id) sebagai bukti tindak lanjut hasil inspeksi.&lt;br&gt;</t>
  </si>
  <si>
    <t>Untuk dokumen dan rekaman terdapat temuan sebagai berikut:
 - Tidak terdapat SPO untuk pasien kontras pada penggunaan modalitas radiografi umum.
 - Di dalam SPO hanya mencantumkan prosedur penggunaan alat untuk modalitas C-Arm Angiography yang terdapat pada ruang Cathlab dan ruang OK, belum mencantumkan aspek keselamatan radiasi untuk personel pekerja radiasi seperti dokter, perawat, dan radiographer.</t>
  </si>
  <si>
    <t>SPO PENGGUNAAN ALAT UNTUK MODALITAS C-ARM 
 ANGIOGRAPHY CATHLABSPO PEMERIKSAAN KONTRAS PADA PENGGUNAAN
 MODALITAS RADIOGRAFI UMUMSPO PEMERIKSAAN URETROSISTOGRAMSPO PENGGUNAAN ALAT UNTUK MODALITAS C-ARM 
 RUANG OK</t>
  </si>
  <si>
    <t>Tidak tersedianya SPO keselamatan radiasi untuk pemeriksaan radiologi intervensional (fluoroskopi, angiografi, C-arm bedah)</t>
  </si>
  <si>
    <t>-Kode Temuan 3.07.02 &lt;br /&gt;
 Pelaku usaha agar menyusun SPO keselamatan radiasi untuk pemeriksaan radiologi intervensional (fluoroskopi, angiografi, C-arm bedah).&lt;br /&gt;
 &lt;br /&gt;
 SPO keselamatan radiasi untuk pemeriksaan radiologi intervensional (fluoroskopi, angiografi, C-arm bedah) diunggah di Sistem Balis Infara (https://balis-infara.bapeten.go.id) pada menu TLHI (Tindak Lanjut Hasil Inspeksi) sebagai bukti tindak lanjut hasil inspeksi.&lt;br /&gt;
 &lt;br /&gt;
 &lt;br&gt;</t>
  </si>
  <si>
    <t>Tidak ada rekaman hasil kendali mutu internal Pesawat Sinar-X CT-Scan.</t>
  </si>
  <si>
    <t>-Kode Temuan 3.07.02&lt;br /&gt;
 Pelaku Usaha membuat rekaman hasil kendali mutu Pesawat Sinar-X CT-Scan.&lt;br /&gt;
 &lt;br /&gt;
 Rekaman hasil kendali mutu Pesawat Sinar-X CT-Scan diunggah di Sistem Balis Infara (https://balis-infara.bapeten.go.id) melalui menu TLHI (Tindak Lanjut Hasil Inspeksi) sebagai bukti tindak lanjut hasil inspeksi.&lt;br /&gt;
 &lt;br&gt;-Kode Temuan 3.07.03&lt;br /&gt;
 Pelaku Usaha agar membuat rekaman kejadian pengulangan (reject) penyinaran pasien.&lt;br /&gt;
 &lt;br /&gt;
 Rekaman kejadian pengulangan (reject) penyinaran pasien diunggah di Sistem Balis Infara (https://balis-infara.bapeten.go.id) melalui menu TLHI (Tindak Lanjut Hasil Inspeksi) sebagai bukti tindak lanjut hasil inspeksi.&lt;br /&gt;
 &lt;br&gt;</t>
  </si>
  <si>
    <t>Terdapat kontainer tempat limbah radioaktif di ruangan persiapan penyuntikan yang tidak diberi label radioaktif.</t>
  </si>
  <si>
    <t>1. Sertifikat hasil uji belum mencantumkan nilai radioaktivitas awal.
 2. Untuk pelabelan bungkusan pengiriman radiofarmaka belum mencantumkan UN Number.
 3. Belum ada pelatihan proteksi radiasi rutin untuk pekerja radiasi, termasuk pelatihan penanggulangan keadaan darurat.</t>
  </si>
  <si>
    <t>-Agar Pelaku Usaha mencantumkan nilai radioaktivitas awal pada sertifikat hasil uji.&lt;br /&gt;
 Untuk menutup temuan, pelaku usaha mengunggah sertifikat hasil uji yang sudah diperbaiki sebagai Tindak Lanjut Hasil Inspeksi &lt;br&gt;-Agar Pelaku Usaha mencantumkan UN Number 2915 untuk pengiriman radiofarmaka di pembungkus luar sesuai dengan ketentuan PP 58 tahun 2015&lt;br /&gt;
 &lt;br /&gt;
 Untuk menutup temuan, pelaku usaha mengunggah foto pencantuman label sebagai Tindak Lanjut Hasil Inspeksi &lt;br&gt;-Agar pelaku usaha menyediakan pelatihan proteksi radiasi secara rutin bagi seluruh pekerja radiasi dan pelatihan penanggulangan keadaan darurat.&lt;br /&gt;
 &lt;br /&gt;
 Untuk menutup temuan, pelaku usaha mengunggah komitmen pelaksanaan pelatihan proteksi radiasi bagi pekerja radiasi secara rutin dan pelatihan penanggulangan keadaan darurat sebagai Tindak Lanjut Hasil Inspeksi &lt;br&gt;-Agar Pelaku Usaha memperbaiki program proteksi dan keselamatan radiasi.&lt;br /&gt;
 &lt;br /&gt;
 Untuk menutup temuan, pelaku usaha mengunggah dokumen program proteksi dan keselamatan radiasi yang sudah diperbaiki sebagai Tindak Lanjut Hasil Inspeksi &lt;br&gt;-Agar Pelaku Usaha melakukan memperbaiki nilai pembatas dosis.&lt;br /&gt;
 &lt;br /&gt;
 Untuk menutup temuan, pelaku usaha mengunggah revisi penetapan pembatas dosis sebagai Tindak Lanjut Hasil Inspeksi &lt;br&gt;</t>
  </si>
  <si>
    <t>1. Belum ada pelatihan proteksi radiasi rutin untuk pekerja radiasi.
 2.Program pemeliharaan alat belum memasukkan alat:
 Kode sumber: 0172880
 Registrasi sumber: 25.1.0172880
 Sub Lingkup Kegiatan: Operasi Fasilitas Radioterapi Menggunakan Intraoperative Radiation Therapy
 Merk Unit: Zeiss
 Tipe Unit: Intrabeam 600:
 Merk Tabung: Zeiss
 Tipe Tabung: GMV GAMMEX 467
 Kondisi Maksimum: 50 kV / 40 μA
 Lokasi Pemanfaatan: Ruang Big OK dan OK hybrid, Lantai-5 Gedung C</t>
  </si>
  <si>
    <t>-1. Agar pelaku usaha menyediakan pelatihan secara rutin bagi seluruh pekerja radiasi.&lt;br /&gt;
 Untuk menutup temuan, pelaku usaha mengunggah komitmen pelaksanaan pelatihan proteksi radiasi bagi pekerja radiasi secara rutin sebagai Tindak Lanjut Hasil Inspeksi di Sistem Balis Infara (https://balis-infara.bapeten.go.id) sebagai bukti tindak lanjut hasil inspeksi.&lt;br /&gt;
 &lt;br /&gt;
 2. Agar Pelaku Usaha memperbaharui program pemeliharaan alat.&lt;br /&gt;
 Untuk menutup temuan, pelaku usaha mengunggah dokumen program perawatan yang sudah diperbaiki sebagai Tindak Lanjut Hasil Inspeksi di Sistem Balis Infara (https://balis-infara.bapeten.go.id) sebagai bukti tindak lanjut hasil inspeksi&lt;br /&gt;
 &lt;br /&gt;
 &lt;br&gt;-Agar Pelaku Usaha memperbaiki program proteksi dan keselamatan radiasi.&lt;br /&gt;
 &lt;br /&gt;
 Untuk menutup temuan, pelaku usaha mengunggah dokumen program proteksi dan keselamatan radiasi yang sudah diperbaiki sebagai Tindak Lanjut Hasil Inspeksi di Sistem Balis Infara (https://balis-infara.bapeten.go.id) sebagai bukti tindak lanjut hasil inspeksi.&lt;br /&gt;
 &lt;br&gt;</t>
  </si>
  <si>
    <t>Multi Teknindo Infotronika</t>
  </si>
  <si>
    <t>Jl. Mampang Prapatan 69</t>
  </si>
  <si>
    <t>Jl. Mampang Prapatan 69,Jakarta Selatan,DKI Jakarta</t>
  </si>
  <si>
    <t>00159.01.03025.14.1.0626</t>
  </si>
  <si>
    <t>Laporan realisasi impor dan pengalihan belum dilaporkan secara berkala sesuai kewajiban yang tertuang dalam lampiran I PP 28 Tahun 2025:</t>
  </si>
  <si>
    <t>-Agar pelaku usaha menyampaikan realisasi impor secara berkala 6 bulan sekali kepada BAPETEN dan memperbaiki dokumen program proteksi radiasi sesuai temuan.&lt;br /&gt;
 &lt;br /&gt;
 Untuk menutup temuan, pelaku usaha mengunggah tangkapan layar LVKF yang sudah dilengkapi sebagai Tindak Lanjut Inspeksi di Sistem Balis Infara (https:/balis-infara.bapeten.go.id) sebagai bukti tindak lanjut hasil inspeksi. &lt;br /&gt;
 &lt;br&gt;-Agar Pelaku Usaha memperbaiki dokumen program proteksi dan keselamatan radiasi.&lt;br /&gt;
 Untuk menutup temuan, pelaku usaha mengunggah program proteksi dan keselamatan radiasi yang sudah diperbaiki sebagai Tindak Lanjut Hasil Inspeksi di Sistem Balis Infara (https://balisinfara.bapeten.go.id) sebagai bukti tindak lanjut hasil inspeksi.&lt;br&gt;-Agar Pelaku Usaha memperbaiki sertifikat hasil uji dengan menambahkan faktor kalibrasi alat ukur yang digunakan dan dosis radiasi riil yang terukur. Untuk menutup temuan, pelaku usaha mengunggah draft sertifikat hasil yang sudah diperbaiki sebagai Tindak Lanjut Hasil Inspeksi di Sistem Balis Infara (https://balis-infara.bapeten.go.id) sebagai bukti tindak lanjut hasil inspeksi.&lt;br&gt;</t>
  </si>
  <si>
    <t>Terlampir Laporan Realisasi Impor periode Januari - Juni 2026Terlampir Tangkapan Layar submit LVKFDokumen Program Proteksi Keselamatan RadiasiPerbaikan sertifikat hasil uji dengan menambahkan faktor kalibrasi alat ukur yang digunakan dan dosis radiasi riil yang terukur.</t>
  </si>
  <si>
    <t>1. Laporan realisasi impor dan pengalihan belum dilaporkan secara berkala sesuai kewajiban yang tertuang dalam lampiran I PP 28 Tahun 2025
 2. Belum ada pelatihan untuk pekerja radiasi</t>
  </si>
  <si>
    <t>-1. Agar Pelaku Usaha menyampaikan laporan realisasi impor dan pengalihan secara rutin 6 bulan sekali melalui LVKF tahunan. &lt;br /&gt;
 Untuk menutup temuan, pelaku usaha mengunggah tangkapan layar LVKF yang sudah dilengkapi sebagai Tindak Lanjut Hasil Inspeksi di Sistem Balis Infara (https://balis-infara.bapeten.go.id) sebagai bukti tindak lanjut hasil inspeksi.&lt;br /&gt;
 &lt;br /&gt;
 2. Agar Pelaku Usaha menyelenggarakan pelatihan proteksi dan keselamatan radiasi secara rutin. &lt;br /&gt;
 Untuk menutup temuan, pelaku usaha mengunggah surat komitmen pelaksanaan pelatihan proteksi dan keselamatan radiasi secara rutin bagi pekerja radiasi sebagai Tindak Lanjut&lt;br /&gt;
 Hasil Inspeksi di Sistem Balis Infara (https://balis-infara.bapeten.go.id) sebagai bukti tindak lanjut hasil inspeksi.&lt;br&gt;-Agar Pelaku Usaha memperbaiki dokumen program proteksi dan keselamatan radiasi.&lt;br /&gt;
 Untuk menutup temuan, pelaku usaha mengunggah program proteksi dan keselamatan radiasi yang sudah diperbaiki sebagai Tindak Lanjut Hasil Inspeksi di Sistem Balis Infara&lt;br /&gt;
 (https://balis-infara.bapeten.go.id) sebagai bukti tindak lanjut hasil inspeksi.&lt;br&gt;</t>
  </si>
  <si>
    <t>Terlampir kami sampaikan laporan realisasi impor dan re-export sudah di unggah melalui LVKF tahunan. terlampir tangkapan layar tangkapan layar LVKF.
  terlampir komitmen pelatihan proteksi dan keselamatan radiasi secara rutin bagi pekerja radiasiterlampir kami lampirkan program proteksi dan keselamatan radiasi yang sudah diperbaiki dimana telah kami tambahkan pelatihan proteksi radiasi setiap 5 tahun (hal 13)</t>
  </si>
  <si>
    <t>Belum ada laporan realiasi impor</t>
  </si>
  <si>
    <t>-Pelaku usaha agar melakukan perbaikan dokumen program proteksi radiasi dan membuat realisasi impor dan menyampaikannya pada BAPETEN 6 bulan sekali (melalui LVKF).&lt;br /&gt;
 &lt;br /&gt;
 Untuk menutup temuan, pelaku usaha mengunggah komitmen menyediakan surverymeter yang memadai dan mengunggah tangkapan layar LVKF yang sudah dilengkapi sebagai Tindak Lanjut Hasil Inspeksi di Sistem Balis Infara (https:// balis infara.bapeten.go.id).&lt;br&gt;</t>
  </si>
  <si>
    <t>1. Belum membuat dokumen dan rekaman yaitu:
 a. rekaman hasil pengujian QC harian, bulanan dan tahunan untuk pesawat LINAC.
 b. rekaman hasil pengujian QC 3 bulanan untuk pengujian flatness.
 c. rekaman hasil pengujian QC harian, bulanan dan tahunan untuk pesawat Brakhiterapi.
 d. rekaman hasil pengujian QC harian, bulanan dan tahunan untuk pesawat CT Simulator.
 e. Judul check list form QC tahunan untuk Brakhiterapi perlu diganti dengan menjadi QC 6 bulanan sesuai dengan isi SPO.
 f. Checklist QC tahunan CT simulator GE tidak sesuai dengan isi SPO.
 2. Belum melakukan pelatihan terkait: 
 a. pendahuluan Proteksi Radiasi dan Keselamatan Radiasi; dan 
 b. Budaya Keselamatan dan Budaya Keamanan kerja yang dilakukan secara berkala 1 tahun sekali untuk pekerja radiasi</t>
  </si>
  <si>
    <t>-Pelaku Usaha agar membuat:&lt;br /&gt;
 a. Menambahkan di SPO ketentuan untuk membuat rekaman hasil pengujian QC Harian, QC bulanan, QC tahunan LINAC&lt;br /&gt;
 b. Menambahkan di SPO QC 3 bulanan LINAC untuk pengujian flatness.&lt;br /&gt;
 c. Menambahkan di SPO ketentuan untuk membuat rekaman hasil pengujian QC Harian, QC bulanan, QC 6 bulanan Brakiterapi.&lt;br /&gt;
 d. Menambahkan di SPO ketentuan untuk membuat rekaman hasil pengujian QC CT Simulator (GE) Harian, Bulanan, Tahunan&lt;br /&gt;
 e. Perbaiki judul check list form QC tahunan Brakiterapi diganti menjadi QC 6 bulanan.&lt;br /&gt;
 f. Perbaiki check list form QC tahunan CT simulator GE sesuai dengan langkah-langkah dalam SPO.&lt;br /&gt;
 &lt;br /&gt;
 &lt;br&gt;-Pelaku Usaha agar membuat surat pernyataan/komitmen melakukan pelatihan secara internal 1 tahun sekali terkait proteksi dan keselamatan radiasi, serta budaya keselamatan dan keamanan.&lt;br /&gt;
 &lt;br /&gt;
 &lt;br&gt;-Pelaku Usaha perlu melakukan perbaikan dokumen dan rekaman yaitu:&lt;br /&gt;
 • Perbaikan SPO terkait dengan menambahkan tindakan proteksi yang dilakukan jika terdapat adanya paparan berlebih terhadap pasien.&lt;br /&gt;
 • Rujukan peraturan perundangan yang terbaru pada semua dokumen program dan SPO.&lt;br /&gt;
 • Review pembatas dosis atas daerah supervisi pada fasilitas radioterapi&lt;br /&gt;
 &lt;br&gt;</t>
  </si>
  <si>
    <t>Pernyataan Komitmen Pemegang Izin RS Fatmawati pelatihan internal 1 tahun sekali 2026SPO QC Linac, Brakhiterapy, CT simulator 2026Perbaikan SPO kegawatdaruratan bila ada paparan berlebihRevisi Program Proteksi dan Kajian Keselamatan layanan Radioterapi 2026Kajian paparan radiasi pada area dekat pipa layanan KN</t>
  </si>
  <si>
    <t>Sesuai dengan Peraturan BAPETEN (Perba) nomor 5 Tahun 2025 tentang Standar Kegiatan Usaha Dan/Atau Standar Produk/Jasa Pada Penyeleng-garaan Perizinan Berusaha Berbasis Risiko Sektor Ketenaganukliran bahwa kegiatan pemindai bagasi atau barang lainnya menggunakan Sumber Radiasi Pengion perlu membuat dokumen dan rekaman berikut:
 a. Program Proteksi dan Keselamatan Radiasi
 b. Dokumen program perawatan
 c. Dokumen sistem manajemen</t>
  </si>
  <si>
    <t>-Pelaku Usaha agar membuat dokumen dan rekaman sesuai petunjuk tim inspektur di lapangan, yaitu:&lt;br /&gt;
 a. Program Proteksi dan Keselamatan Radiasi&lt;br /&gt;
 b. Dokumen program perawatan&lt;br /&gt;
 c. Dokumen sistem manajemen&lt;br /&gt;
 &lt;br&gt;</t>
  </si>
  <si>
    <t>Pembuatan dokumen :
 a. Prosedur Operasi X-Ray.
 b. Program Proteksi dan Keselamatan Radiasi
 c. Dokumen System Manajemen</t>
  </si>
  <si>
    <t>Belum membuat dokumen SOP Impor dan Pengalihan, serta SOP Instalasi Alat</t>
  </si>
  <si>
    <t>-Pelaku Usaha wajib menyusun SOP impor dan pengalihan, serta SOP instalasi dan pengujian pesawat sinar-X.&lt;br&gt;</t>
  </si>
  <si>
    <t>Terlampir SOP Prosedur Pengurusan Izin Impor Peralatan X-Ray PT Lab Sistematika IndonesiaTerlampir SOP Prosedur Pengalihan Peralatan X-Ray pembangkit Radiasi pengion PT Lab Sistematika IndonesiaTerlampir SOP Prosedur Instalasi Peralatan X-Ray PT Lab Sistematika IndonesiaTerlampir SOP Prosedur pengujian pesawat sinar-X. Peralatan X-Ray PT Lab Sistematika Indonesia</t>
  </si>
  <si>
    <t>Prosedur pengoperasian pesawat sinar-X merk Comet Yxlon belum dibuat dalam bahasa Indonesia.</t>
  </si>
  <si>
    <t>-Pelaku Usaha agar membuat dokumen prosedur pengoperasian pesawat sinar-X merk Comet Xylon dalam bahasa Indonesia.&lt;br /&gt;
 &lt;br&gt;-Pelaku Usaha agar melakukan perbaikan dokumen Program Proteksi dan Keselamatan Radiasi sesuai petunjuk tim inspektur di lapangan.&lt;br /&gt;
 &lt;br /&gt;
 &lt;br&gt;</t>
  </si>
  <si>
    <t>PT CATI Dokumen Program Proteksi dan Keselamatan RadiasiBAB XII_Prosedur Pengoperasian Radiasi</t>
  </si>
  <si>
    <t>Belum tersedia dokumen prosedur/SOP proteksi dan keselamatan radiasi untuk pendamping pasien</t>
  </si>
  <si>
    <t>-Pelaku usaha agar melengkapi dokumen tersebut sesuai dengan arahan tim inspektur pada kolom uraian temuan. &lt;br /&gt;
 &lt;br /&gt;
 Untuk menutup temuan, agar mengunggah dokumen dan rekaman yang telah disusun melalui menu TLHI (Tindak Lanjut Hasil Inspeksi) Balis Infara (https://balis-infara.bapeten.go.id) sebagai bukti tindak lanjut hasil inspeksi &lt;br&gt;-Pelaku usaha agar melakukan perbaikan dokumen program proteksi dan keselamatan radiasi sesuai dengan arahan tim inspektur pada kolom uraian temuan. &lt;br /&gt;
 &lt;br /&gt;
 Untuk menutup temuan, agar mengunggah dokumen program proteksi dan keselamatan radiasi yang telah diperbaiki melalui menu TLHI (Tindak Lanjut Hasil Inspeksi) Balis Infara (https://balis-infara.bapeten.go.id) sebagai bukti tindak lanjut hasil inspeksi &lt;br&gt;-Pelaku usaha agar melakukan uji kesesuaian Pesawat Sinar-X CT-Scan (CTScan Konvensional), Siemens dengan Nomor Seri Tabung 660451573. &lt;br /&gt;
 &lt;br /&gt;
 Untuk menutup temuan, unggah bukti registrasi Uji Kesesuaian pada B@lis esukses untuk alat tersebut melalui menu TLHI (Tindak Lanjut Hasil Inspeksi) Balis Infara (https://balis-infara.bapeten.go.id) sebagai bukti tindak lanjut hasil inspeksi. &lt;br&gt;</t>
  </si>
  <si>
    <t>Telah dibuatkan SOP terkait pendamping pemeriksaan radiologi tertanggal 09 JULI 2026, sebelumnya SOP tersebut memang belum ada.Telah kami lakukan perbaikan pada dokumen program proteksi radiasi pada halaman 28 sesuai dengan arahan dari InspekturTelah kami lakukan uji kesesuaian Pesawat Sinar-X CT-Scan (CTScan Konvensional), Siemens dengan Nomor Seri Tabung 660451573 pada hari kamis tanggal 23 Juli 2026 melalui PT Eksgon Brother</t>
  </si>
  <si>
    <t>Tidak tersedia dokumen sebagi berikut:
 a. resume hasil pemeriksa kesehatan pekerja radiasi belum didokumentasikan ke dalam kartu kesehatan
 b. Prosedur/SOP pemeriksaan untuk wanita Hamil atau diperkirakan hamil.</t>
  </si>
  <si>
    <t>-Pelaku usaha agar melengkapi dokumen dan rekaman sesuai dengan arahan tim inspektur pada kolom uraian temuan. &lt;br /&gt;
 &lt;br /&gt;
 Untuk menutup temuan, agar mengunggah dokumen dan rekaman yang telah disusun melalui menu TLHI (Tindak Lanjut Hasil Inspeksi) Balis Infara (https://balis-infara.bapeten.go.id) sebagai bukti tindak lanjut hasil inspeksi&lt;br&gt;-Pelaku usaha agar melakukan perbaikan dokumen program proteksi dan keselamatan radiasi sesuai dengan arahan tim inspektur pada kolom uraian temuan. &lt;br /&gt;
 &lt;br /&gt;
 Untuk menutup temuan, agar mengunggah dokumen program proteksi dan keselamatan radiasi yang telah diperbaiki melalui menu TLHI (Tindak Lanjut Hasil Inspeksi) Balis Infara (https://balis-infara.bapeten.go.id) sebagai bukti tindak lanjut hasil inspeksi &lt;br&gt;-Pelaku usaha agar melakukan perbaikan dokumen prosedur/SOP sesuai dengan arahan tim inspektur pada kolom uraian temuan. &lt;br /&gt;
 &lt;br /&gt;
 Untuk menutup temuan, agar mengunggah dokumen prosedur/SOP yang telah diperbaiki melalui menu TLHI (Tindak Lanjut Hasil Inspeksi) Balis Infara (https://balis-infara.bapeten.go.id) sebagai bukti tindak lanjut hasil inspeksi&lt;br&gt;</t>
  </si>
  <si>
    <t>Telah dilakukan tindak lanjut terhadap temuan dengan rincian sebagai berikut:
 Resume hasil pemeriksaan kesehatan pekerja radiasi telah didokumentasikan ke dalam Kartu Kesehatan Pekerja Radiasi sebagai bagian dari pemantauan kesehatan pekerja sesuai ketentuan yang berlaku.
 Prosedur/Standar Operasional Prosedur (SOP) Pemeriksaan bagi Wanita Hamil atau Diperkirakan Hamil telah disusun dan ditetapkan sebagai pedoman pelaksanaan pemeriksaan radiologi untuk memastikan penerapan prinsip proteksi dan keselamatan radiasi bagi pasien hamil atau yang diduga hamil.</t>
  </si>
  <si>
    <t>1. Terdapat 1 (satu) unit SRP yaitu Pesawat Sinar-X CT-Scan (CT-Scan Konvensional), Merk Unit: Canon, Tipe Unit: Aquilion Lightning TSX-035A, No Seri Unit: 7CD2193233, Merk Tabung: Canon, Tipe Tabung: CSR-9344M, No Seri Tabung: 1H119, Kondisi Maksimum: 135 kVp / 420 mA, Lokasi Pemanfaatan: Ruang CT Scan dengan Sertifikat Uji Kesesuaian yang telah kedaluwarsa.
 2. Terdapat alat ukur radiasi:
 a. Personal Dosimeter Aloka PDM-127B- Nomor Seri SZ GR108540;
 b. Personal Dosimeter Aloka PDM-127B-SZ Nomor Seri GR108535; dan
 c. Surveymeter SE International Ranger Nomor Seri R319997
  yang telah habis masa berlaku kalibrasinya pada bulan Juni tahun 2026.</t>
  </si>
  <si>
    <t>-Pelaku Usaha agar melakukan uji kesesuaian untuk pesawat sinar-X tersebut.&lt;br /&gt;
 &lt;br /&gt;
 Untuk menutup temuan, unggah bukti registrasi Uji Kesesuaian untuk alat tersebut melalui menu TLHI (Tindak Lanjut Hasil Inspeksi) Balis Infara (https://balis-infara.bapeten.go.id)&lt;br /&gt;
 sebagai bukti tindak lanjut hasil inspeksi.&lt;br /&gt;
 &lt;br&gt;-Pelaku Usaha agar melakukan kalibrasi ulang untuk ketiga alat ukur radiasi tersebut.&lt;br /&gt;
 &lt;br /&gt;
 Untuk menutup temuan, unggah bukti registrasi pelaksanaan kalibrasi untuk ketiga alat tersebut melalui menu TLHI (Tindak Lanjut Hasil Inspeksi) Balis Infara (https://balis-infara.bapeten.go.id)&lt;br /&gt;
 sebagai bukti tindak lanjut hasil inspeksi.&lt;br /&gt;
 &lt;br&gt;-Pelaku usaha agar melakukan perbaikan dokumen program proteksi dan kesela-matan radiasi sesuai dengan arahan tim inspektur pada kolom uraian temuan.&lt;br /&gt;
 &lt;br /&gt;
 Untuk menutup temuan, agar mengung-gah dokumen program proteksi dan keselamatan radiasi yang telah diperbaiki melalui menu TLHI (Tindak Lanjut Hasil Inspeksi) Balis Infara (https://balis-infara.bapeten.go.id) sebagai bukti tindak lanjut hasil inspeksi&lt;br /&gt;
 &lt;br&gt;</t>
  </si>
  <si>
    <t>Sebagian dokumen dan rekaman tidak tersedia, yaitu: 
 a. Kartu Kesehatan, resume hasil pemeriksa kesehatan pekerja radiasi belum didokumentasikan kedalam kartu kesehatan. 
 b. Prosedur/SOP pemeriksaan untuk wanita Hamil atau diperkirakan hamil.</t>
  </si>
  <si>
    <t>-Pelaku usaha agar melengkapi dokumen dan rekaman sesuai dengan arahan tim inspektur pada kolom uraian temuan. &lt;br /&gt;
 &lt;br /&gt;
 Untuk menutup temuan, agar mengunggah dokumen dan rekaman yang telah disusun melalui menu TLHI (Tindak Lanjut Hasil Inspeksi) Balis Infara (https://balis-infara.bapeten.go.id) sebagai bukti tindak lanjut hasil inspeksi &lt;br&gt;-Pelaku usaha agar melakukan perbaikan dokumen program proteksi dan keselamatan radiasi serta prosedur/SOP sesuai dengan arahan tim inspektur pada kolom uraian temuan. &lt;br /&gt;
 &lt;br /&gt;
 Untuk menutup temuan, agar mengunggah dokumen program proteksi dan keselamatan radiasi serta prosedur/SOP yang telah diperbaiki melalui menu TLHI (Tindak Lanjut Hasil Inspeksi) Balis Infara (https://balis-infara.bapeten.go.id) sebagai bukti tindak lanjut hasil inspeksi &lt;br&gt;</t>
  </si>
  <si>
    <t>dokumen kartu kesehatan pekerja rsud au dan spo pemeriksaan wanita hamil</t>
  </si>
  <si>
    <t>RSUD Dr. Achmad Mochtar Bukittinggi tidak dapat menunjukkan sertifikat uji kesesuaian yang masih berlaku untuk pesawat dibawah ini :
 1. Radiologi Intervensional Merk Unit : GE Tipe Unit : Optima IGS 320 No Seri Unit : 205628WG1 Merk Tabung : GE Tipe Tabung : 2216450 No Seri Tabung : 271530GI8
 2. Pesawat Sinar-X Radiografi Umum (Mobile) Merk Unit : Siemens Tipe Unit : Polymobil Plus No Seri Unit : 54149 Merk Tabung : IAE Tipe Tabung : X22 No Seri Tabung : 13X132
 3. Pesawat Sinar-X Radiografi Umum (Mobile) Merk Unit : Siemens Tipe Unit : Polymobil Plus No Seri Unit : 54152 Merk Tabung : IAE Tipe Tabung : X22 No Seri Tabung : 13X076
 4. Pesawat Sinar-X Fluoroskopi ( C-arm Penunjang Bedah) Merk Unit : GE Tipe Unit : OEC One No Seri Unit : BB6SV2500096HL Merk Tabung : Hangzhou Kailong Tipe Tabung : KL188SBR-0.6/1.2-125 No Seri Tabung : 254648HL9
 Tidak tersedia dokumen/rekaman:
 a. Rekaman (Log book) pencatatan TLD, dosimeter baca langsung, TLD mata di penggunaan alat radiologi intervensional
 b. Rekaman Inventarisasi pekerja radiasi yang memuat informasi pekerja: pekerja yang sedang bekerja, pekerja yang baru masuk, pindah dari unit lain, pindah ke unit lain, atau tidak lagi menjadi pekerja radiasi.
 c. Rekaman Pelatihan Personil baik secara internal maupun eksternal paling sedikit memuat informasi: 
 1. nama personel; 2. tanggal dan jangka waktu pelatihan; 3. topik yang diberikan; dan 4. fotokopi bukti pelatihan
 d. Tabel Eksposi untuk pengoperasian pesawat sinar-X Radiologi Diagnostik yang mencantumkan nilai kV, mA/mAs, dan s.
 e. Prosedur Pelaksanaan Kendali Kualitas Internal untuk peralatan radiologi diagnostik yang dilakukan oleh Fisikawan Medik.
 f. Prosedur pengendalian keadaan darurat.
 g. Prosedur penggunaan TLD, TLD mata dan dosimeter baca langsung.
 h. Logbook Pasien Radiologi agar dilengkapi dengan data dosis, data berat badan, serta data pengulangan penyinaran.</t>
  </si>
  <si>
    <t>-RSUD Dr. Achmad Mochtar Bukittinggi wajib menyusun dokumen sebagaimana yang tercantum dalam uraian temuan. &lt;br /&gt;
 Untuk menutup temuan agar mengunggah dokumen sebagaimana tercantum dalam uraian temuan ke dalam sistem Balis Infara (https://balisinfara.bapeten.go.id) sebagai bukti tindak lanjut hasil inspeksi.&lt;br /&gt;
 &lt;br&gt;-RSUD Dr. Achmad Mochtar Bukittinggi harus memperbaiki dokumen tersebut sesuai dengan rekomendasi tim Inspektur BAPETEN. &lt;br /&gt;
 Untuk menutup temuan, unggah dokumen yang telah diperbaiki tersebut pada menu TLHI (Tindak Lanjut Hasil Inspeksi) Balis Infara (https://balis-infara.bapeten.go.id) sebagai bukti tindak lanjut hasil inspeksi.&lt;br /&gt;
 &lt;br&gt;</t>
  </si>
  <si>
    <t>Sertifikat uji kesesuaian Polymobil Plus 54149Prosedur pengendalian keadaan daruratSertifikat uji kesesuaian Polymobil Plus 54149</t>
  </si>
  <si>
    <t>Tidak tersedia dokumen/rekaman:
 1. Prosedur Pemantauan Dosis Pekerja Radiasi
 2. Prosedur Pemantauan Kesehatan Pekerja Radiasi
 3. Prosedur Pemantauan Paparan Pekerja Radiasi</t>
  </si>
  <si>
    <t>-PT. Semen Padang wajib menyusun dokumen sebagaimana yang tercantum dalam uraian temuan.&lt;br /&gt;
 &lt;br /&gt;
 Untuk menutup temuan agar mengunggah dokumen sebagaimana tercantum dalam uraian temuan ke dalam sistem Balis Infara (https://balis-infara.bapeten.go.id)&lt;br /&gt;
 sebagai bukti tindak lanjut hasil inspeksi.&lt;br /&gt;
 &lt;br&gt;</t>
  </si>
  <si>
    <t>Tidak tersedia dokumen/rekaman:
 1. Prosedur penggunaan TLD dan dosimeter baca langsung
 2. Prosedur Pemantauan Dosis Pekerja Radiasi;
 3. Prosedur Pemantauan Kesehatan Pekerja Radiasi; 
 4. Prosedur kedaruratan bila listrik padam, sumber Brakhiterapi Co-60 stuck, gempa dan kedaruratan lainnya
 5. Prosedur Penyimpanan Zat Radioaktif Terbungkus
 6. Prosedur Pengangkutan Zat Radioaktif Terbungkus
 7. Prosedur Penanganan Limbah Radioaktif
 8. Rekaman Pelatihan Personil baik secara internal maupun eksternal paling sedikit memuat informasi: 1. nama personel; 2. tanggal dan jangka waktu pelatihan; 3.topik yang diberikan; dan 4. fotokopi bukti pelatihan
 9. Rekaman Pelatihan atau Coaching atau Drill untuk kondisi Kedaruratan dalam Keamanan Zat Radioakti</t>
  </si>
  <si>
    <t>-RSUD Dr. Achmad Mochtar Bukittinggi agar menyusun dokumen/rekaman tersebut;&lt;br /&gt;
 &lt;br /&gt;
 Untuk menutup temuan, unggah Bukti dokumen/rekaman tersebut pada menu TLHI (Tindak Lanjut Hasil Inspeksi) BALIS INFARA (https://balis-infara.bapeten.go.id) sebagai bukti tindak lanjut hasil inspeksi.&lt;br /&gt;
 &lt;br /&gt;
 &lt;br&gt;-RSUD Dr. Achmad Mochtar Bukittinggi wajib melakukan perbaikan dokumen dan rekaman sesuai dengan rekomendasi tim Inspektur BAPETEN. &lt;br /&gt;
 &lt;br /&gt;
 Untuk menutup temuan, unggah perbaikan dokumen-dokumen tersebut pada menu TLHI (Tindak Lanjut Hasil Inspeksi) BALIS INFARA (https://balis-infara.bapeten.go.id) sebagai bukti tindak lanjut hasil inspeksi.&lt;br /&gt;
 &lt;br&gt;</t>
  </si>
  <si>
    <t>Tidak tersedia dokumen/rekaman:
 a. Prosedur penyinaran yang dilengkapi dengan tabel acuan data faktor ek-sposi yaitu nilai kV, mA/mAs, dan s.
 b. Prosedur pengendalian keadaan da-rurat
 c. Tabel Eksposi untuk pengoperasian pesawat sinar-X Radiologi Diagnostik yang mencantumkan nilai kV, mA/mAs, dan s;
 d. Rekaman Inventarisasi pekerja radia-si yang memuat informasi pekerja: pekerja yang sedang bekerja, pekerja yang baru masuk, pindah dari unit lain, pindah ke unit lain, atau tidak lagi menjadi pekerja radiasi.
 e. Rekaman pencatatan TLD mata pada penggunaan alat radiologi intervensional 
 f. Rekaman Pelatihan Personil baik secara internal maupun eksternal paling sedikit memuat informasi: 
 1. nama personel; 2. tanggal dan jangka waktu pelatihan; 3.topik yang diberikan; dan 4. fotokopi bukti pelatihan</t>
  </si>
  <si>
    <t>-BLU RS Otak DR. Drs. M. Hatta Bukittinggi wajib menyediakan dokumen-dokumen tersebut sesuai dengan rekomendasi tim Inspektur BAPETEN. &lt;br /&gt;
 &lt;br /&gt;
 Untuk menutup temuan, unggah dokumen-dokumen tersebut pada menu TLHI (Tindak Lanjut Hasil Inspeksi) Balis Infara (https://balis-infara.bapeten.go.id) sebagai bukti tindak lanjut hasil inspeksi.&lt;br /&gt;
 &lt;br&gt;-BLU RS Otak DR. Drs. M. Hatta Bukittinggi harus memperbaiki dokumen tersebut sesuai dengan rekomendasi tim Inspektur BAPETEN.&lt;br /&gt;
 &lt;br /&gt;
 Unggah dokumen yang telah diperbaiki tersebut pada menu TLHI (Tindak Lanjut Hasil Inspeksi) Balis Infara (https://balis-infara.bapeten.go.id) sebagai bukti tindak lanjut hasil inspeksi.&lt;br /&gt;
 &lt;br&gt;</t>
  </si>
  <si>
    <t>Temuan 3.07.02 Point a : Prosedur penyinaran yang dilengkapi dengan tabel acuan data faktor ek-sposi yaitu nilai kV, mA/mAs, dan s.Temuan 3.07.02 Point b : Prosedur pengendalian keadaan daruratTemuan 3.07.02 Point c : Tabel Eksposi untuk pengoperasian pesawat sinar-X Radiologi Diagnostik yang mencantumkan nilai kV, mA/mAs, dan s;Temuan 3.07.02 Point d : Rekaman Inventarisasi pekerja radiasiTemuan 3.07.02 Point f : Rekaman Pelatihan Personil baik secara internal maupun eksternal</t>
  </si>
  <si>
    <t>Tidak tersedia dokumen/rekaman:
 a. Rekaman/logbook pengukuran pemantauan tangan, kaki dan pakaian pekerja radiasi oleh PPR
 b. Prosedur penggunaan Surveimeter gamma dan kontaminasi
 c. Prosedur pemakaian TLD dan dosime-ter langsung
 d. Prosedur Dosis Pekerja Melebihi NBD
 e. Prosedur Pemantauan Dosis Pekerja Radiasi
 f. Prosedur Pemantauan Kesehatan Pekerja Radiasi
 g. Prosedur Uji Paparan Untuk Rilis Pasien.
 h. Prosedur (SOP) atau jadwal pemantauan kontaminasi dan pemantauan paparan radiasi yang telah diperbarui, termasuk formulir atau logsheet pemantauan yang akan digunakan.</t>
  </si>
  <si>
    <t>-RSUP Dr. M. Djamil Padang wajib menyediakan dokumen dan rekaman tersebut sesuai dengan rekomendasi tim Inspektur BAPETEN.&lt;br /&gt;
 &lt;br /&gt;
 Unggah dokumen-dokumen tersebut pada menu TLHI (Tindak Lanjut Hasil Inspeksi) BALIS INFARA (https://balis-infara.bapeten.go.id) sebagai bukti tindak lanjut hasil inspeksi.&lt;br&gt;-RSUP Dr. M. Djamil Padang harus memperbaiki dokumen tersebut sesuai dengan rekomendasi tim Inspektur BAPETEN.&lt;br /&gt;
 &lt;br /&gt;
 Unggah dokumen yang telah diperbaiki tersebut pada menu TLHI (Tindak Lanjut Hasil Inspeksi) BALIS INFARA (https://balis-infara.bapeten.go.id) sebagai bukti tindak lanjut hasil inspeksi.&lt;br&gt;</t>
  </si>
  <si>
    <t>Tidak tersedia dokumen/rekaman:
 a. Rekaman pencatatan dosimeter perorangan (baca langsung) di penggunaan alat radiologi intervensional
 b. Rekaman pencatatan TLD mata pada penggunaan alat radiologi intervensional
 c. Rekaman Pelatihan Personil baik secara internal maupun eksternal paling sedikit memuat informasi:
 1. nama personel; 2. tanggal dan jangka waktu pelatihan; 3. topik yang diberikan; dan 4. fotokopi bukti pelatihan
 d. Tabel Eksposi untuk pengoperasian pesawat sinar-X Radiologi Diagnostik yang mencantumkan nilai kV, mA/mAs, dan s
 e. Prosedur Pelaksanaan Kendali Kualitas Internal untuk peralatan radiologi diagnostik yang dilakukan oleh Fisikawan Medik.
 f. Prosedur pengendalian keadaan darurat
 g. Prosedur keselamatan radiasi di fasilitas radiologi intervesional
 h. Prosedur penggunaan TLD dan dosimeter langsung
 i. Logbook Pasien Radiologi agar dilengkapi dengan data dosis, data berat badan, serta data pengulangan penyinaran.</t>
  </si>
  <si>
    <t>-RSUP Dr. M. Djamil Padang wajib menyusun dokumen sebagaimana yang tercantum dalam uraian temuan.&lt;br /&gt;
 &lt;br /&gt;
 Untuk menutup temuan agar mengunggah dokumen sebagaimana tercantum dalam uraian temuan ke dalam sistem Balis Infara (https://balis-infara.bapeten.go.id) sebagai bukti tindak lanjut hasil inspeksi.&lt;br&gt;-RSUP Dr. M. Djamil Padang harus memperbaiki dokumen tersebut sesuai dengan rekomendasi tim Inspektur BAPETEN.&lt;br /&gt;
 &lt;br /&gt;
 Unggah dokumen yang telah diperbaiki tersebut pada menu TLHI (Tindak Lanjut Hasil Inspeksi) Balis Infara (https://balis-infara.bapeten.go.id) sebagai bukti tindak lanjut hasil inspeksi.&lt;br&gt;</t>
  </si>
  <si>
    <t>Tidak tersedia dokumen/rekaman:
 1. RSUP Dr. M. Djamil Padang untuk menyiapkan Data digital Kendali Kualitas (QC) Peralatan Radioterapi, baik Teleterapi Co-60, Simulator, Brakhiterapi baik harian, bulanan maupun tahunan.
 2. Prosedur Pelaksanaan Kendali Kualitas Internal untuk peralatan radioterapi
 3. Prosedur penggunaan TLD dan dosimeter baca langsung
 4. Prosedur Pemantauan Dosis Pekerja Radiasi
 5. Prosedur Pemantauan Kesehatan Pekerja Radiasi</t>
  </si>
  <si>
    <t>-RSUP Dr. M. Djamil Padang agar menyiapkan dokumen/rekaman tersebut;&lt;br /&gt;
 &lt;br /&gt;
 Unggah Bukti dokumen/rekaman tersebut pada menu TLHI (Tindak Lanjut Hasil Inspeksi) BALIS INFARA (https://balis-infara.bapeten.go.id) sebagai bukti tindak lanjut hasil inspeksi.&lt;br&gt;-RSUP Dr. M. Djamil Padang wajib melakukan perbaikan dokumen dan rekaman sesuai dengan rekomendasi tim Inspektur BAPETEN.&lt;br /&gt;
 &lt;br /&gt;
 Unggah perbaikan dokumen-dokumen tersebut pada menu TLHI (Tindak Lanjut Hasil Inspeksi) BALIS INFARA (https://balis-infara.bapeten.go.id) sebagai bukti tindak lanjut hasil inspeksi.&lt;br&gt;</t>
  </si>
  <si>
    <t>1. Terdapat 5 (lima) PRP yang telah habis masa berlaku sertifikat Uji Kesesuaian yaitu:
 a. Philips Tipe Tabung : IAE X22, No. Seri Tabung : 13R747 (12 April 2026)
 b. Siemens Tipe Tabung : OPTITOP 150/40/80 HC-100, No. Seri Tabung : 810051556 (11 April 2026)
 c. Siemens Tipe Tabung : Opti 135/30/55R, No. Seri Tabung : 524912 (12 April 2026)
 d. Instrumentarium Tipe Tabung : D051S, No. Seri Tabung : 6F00827 (12 April 2026)
 e. Villa Sistemi Medicali Tipe Tabung : 4695005400, No. Seri Tabung : 931743 (12 April 2026)
 2. Belum memiliki:
 - Logbook pelaporan dan pengoperasian pesawat Fujifilm portable untuk kegiatan screening TB (mencantumkan nama wilayah, nama radiografer &amp; Petugas Proteksi Radiasi) serta jumlah pasien yang dilakukan screening Tubercolosis.
 - Logbook penggunaan Pendose disertai dosis yang diterima pekerja radiasi.
 - Rekaman pelatihan personel.
 - SOP Pemeriksaan Pasien anak (pediatrik).
 - SOP Pemeriksaan Pasien Wanita Hamil.</t>
  </si>
  <si>
    <t>-1. Pelaku Usaha agar menyampaikan sertifikat keandalan Uji Kesesuaian untuk 5 (lima) pesawat sinar-X yang telah habis masa berlaku sertifikat Uji Kesesuaiannya.&lt;br /&gt;
 a. Philips Tipe Tabung: IAE X22, No. Seri Tabung: 13R747 (12 April 2026).&lt;br /&gt;
 b. Siemens Tipe Tabung: OPTITOP 150/40/80 HC-100, No. Seri Tabung: 810051556 (11 April 2026).&lt;br /&gt;
 c. Siemens Tipe Tabung: Opti 135/30/55R, No. Seri Tabung 524912 (12 April 2026).&lt;br /&gt;
 d. Instrumentarium Tipe Tabung: D051S, No. Seri Tabung: 6F00827 (12 April 2026).&lt;br /&gt;
 e. Villa Sistemi Medicali Tipe Tabung: 4695005400, No. Seri Tabung: 931743 (12 April 2026).&lt;br /&gt;
 &lt;br /&gt;
 &lt;br /&gt;
 Unggah sertifikat keandalan Uji Kesesuaian pesawat sinar-X tersebut melalui menu TLHI (Tindak Lanjut Hasil Inspeksi) di Sistem BALIS INFARA (https://balis-infara.bapeten.go.id) sebagai bukti tindak lanjut hasil inspeksi.&lt;br /&gt;
 &lt;br /&gt;
 2. Pelaku Usaha agar menyusun 5 (lima) dokumen tersebut sesuai arahan tim Inspeksi, yaitu:&lt;br /&gt;
 a. Logbook pelaporan dan pengoperasian pesawat Fujifilm portable untuk kegiatan screening TB (mencantumkan nama wilayah, nama radiografer &amp; Petugas Proteksi Radiasi) serta jumlah pasien yang dilakukan screening Tubercolosis.&lt;br /&gt;
 b. Logbook penggunaan Pendose disertai dosis yang diterima pekerja radiasi.&lt;br /&gt;
 c. Rekaman pelatihan personel.&lt;br /&gt;
 d. SOP Pemeriksaan Pasien anak (pediatrik).&lt;br /&gt;
 e. SOP Pemeriksaan Pasien Wanita Hamil.&lt;br /&gt;
 &lt;br /&gt;
 Unggah dokumen yang sudah disusun tersebut melalui menu TLHI (Tindak Lanjut Hasil Inspeksi) di Sistem BALIS INFARA (https://balis-infara.bapeten.go.id) sebagai bukti tindak lanjut hasil inspeksi.&lt;br /&gt;
 &lt;br /&gt;
 &lt;br&gt;-Pelaku Usaha agar melakukan perbaikan dokumen program proteksi dan keselamatan radiasi tersebut sesuai arahan tim Inspeksi.&lt;br /&gt;
 &lt;br /&gt;
 Unggah dokumen yang sudah diperbaiki tersebut melalui menu TLHI (Tindak Lanjut Hasil Inspeksi) di Sistem BALIS INFARA (https://balis-infara.bapeten.go.id) sebagai bukti tindak lanjut hasil inspeksi.&lt;br /&gt;
 &lt;br /&gt;
 &lt;br&gt;</t>
  </si>
  <si>
    <t>Kami sudah melakukan Ukes untuk 4 pesawat,(sertifikat keandalan Ukes 3 pesawat dan 1 pesawat dengan berita acara ukes terlampir)
 Untuk pesawat Siemens Tipe Tabung: Opti 135/30/55R, No. Seri Tabung 524912 belum di ukes karena kondisi pesawat masih rusak. (Surat pernyataan perbaikan alat terlampir)
 Kami sudah membuat 6 dokumen arahan tim Inspeksi, yaitu:
 1. Logbook pelaporan dan pengoperasian pesawat Fujifilm portable untuk kegiatan screening TB (mencantumkan nama wilayah, nama radiografer &amp; Petugas Proteksi Radiasi) serta jumlah pasien yang dilakukan screening Tubercolosis --&gt; sudah
 2. Logbook penggunaan Pendose disertai dosis yang diterima pekerja radiasi --&gt; sudah
 3. Rekaman pelatihan personel --&gt; sudah
 4. SOP Pemeriksaan Pasien anak (pediatrik) --&gt; sudah
 5. SOP Pemeriksaan Pasien Wanita Hamil --&gt; sudah
 6. Log book penggunaan Pendose
 Kami sudah melakukan perbaikan dokumen program proteksi dan keselamatan radiasi tersebut sesuai arahan tim Inspeksi.</t>
  </si>
  <si>
    <t>Belum memiliki:
 - Logbook penggunaan Pendose disertai dosis yang diterima pekerja radiasi.
 - Rekaman pelatihan personel.
 - SOP Pemeriksaan Pasien anak (pediatrik).
 - SOP Pemeriksaan Pasien Wanita Hamil.</t>
  </si>
  <si>
    <t>-Pelaku Usaha agar menyusun dokumen tersebut sesuai arahan tim Inspeksi, yaitu:&lt;br /&gt;
 - Logbook penggunaan Pendose disertai dosis yang diterima pekerja radiasi.&lt;br /&gt;
 - Rekaman pelatihan personel.&lt;br /&gt;
 - SOP Pemeriksaan Pasien anak (pediatrik).&lt;br /&gt;
 - SOP Pemeriksaan Pasien Wanita Hamil.&lt;br /&gt;
 &lt;br /&gt;
 &lt;br /&gt;
 Unggah dokumen yang sudah disusun tersebut melalui menu TLHI (Tindak Lanjut Hasil Inspeksi) di Sistem BALIS INFARA (https://balis-infara.bapeten.go.id) sebagai bukti tindak lanjut hasil inspeksi.&lt;br /&gt;
 &lt;br /&gt;
 &lt;br&gt;</t>
  </si>
  <si>
    <t>1. Terdapat 3 (tiga) PRP yang telah habis masa berlaku Sertifikat Uji Kesesuaiannya yaitu:
 a. Fujifilm Tipe Tabung: 0713UI63C, No. Seri Tabung: 07478 (29 Maret 2026).
 b. GE Tipe Tabung: 5322292, No. Seri Tabung: 141976BI1 (18 Juli 2026).
 c. Siemens Tipe Tabung: OPTITOP 1504080HC, No. Seri Tabung 854332154 (26 Mei 2026).
 2. Belum memiliki:
 a. Logbook pelaporan dan pengoperasian pesawat Fujifilm portable untuk kegiatan screening TB (mencantumkan nama wilayah, nama radiografer &amp; Petugas Proteksi Radiasi) serta jumlah pasien yang dilakukan screening Tubercolosis.
 b. Logbook penggunaan Pendose disertai dosis yang diterima pekerja radiasi.
 c. Rekaman pelatihan personel.
 d. SOP Pemeriksaan Pasien anak (pediatrik).
 e. SOP Pemeriksaan Pasien Wanita Hamil.</t>
  </si>
  <si>
    <t>-1. Pelaku Usaha agar menyampaikan sertifikat keandalan Uji Kesesuaian untuk 3 (tiga) pesawat sinar-X.&lt;br /&gt;
 a. Fujifilm Tipe Tabung: 0713UI63C, No. Seri Tabung: 07478 (29 Maret 2026).&lt;br /&gt;
 b. GE Tipe Tabung: 5322292, No. Seri Tabung: 141976BI1 (18 Juli 2026).&lt;br /&gt;
 c. Siemens Tipe Tabung: OPTITOP 1504080HC, No. Seri Tabung 854332154 (26 Mei 2026).&lt;br /&gt;
 &lt;br /&gt;
 Unggah sertifikat keandalan Uji Kesesuaian pesawat sinar-X tersebut melalui menu TLHI (Tindak Lanjut Hasil Inspeksi) di Sistem BALIS INFARA (https://balis-infara.bapeten.go.id) sebagai bukti tindak lanjut hasil inspeksi.&lt;br /&gt;
 &lt;br /&gt;
 2. Pelaku Usaha agar menyusun dokumen berikut sesuai arahan tim Inspeksi, yaitu: &lt;br /&gt;
 a. Logbook pelaporan dan pengoperasian pesawat Fujifilm portable untuk kegiatan screening TB (mencantumkan nama wilayah, nama radiografer &amp; Petugas Proteksi Radiasi) serta jumlah pasien yang dilakukan screening Tubercolosis.&lt;br /&gt;
 b. Logbook penggunaan Pendose disertai dosis yang diterima pekerja radiasi.&lt;br /&gt;
 c. Rekaman pelatihan personel.&lt;br /&gt;
 d. SOP Pemeriksaan Pasien anak (pediatrik).&lt;br /&gt;
 e. SOP Pemeriksaan Pasien Wanita Hamil.&lt;br /&gt;
 &lt;br /&gt;
 Unggah dokumen yang sudah disusun tersebut melalui menu TLHI (Tindak Lanjut Hasil Inspeksi) di Sistem BALIS INFARA (https://balis-infara.bapeten.go.id) sebagai bukti tindak lanjut hasil inspeksi.&lt;br /&gt;
 &lt;br /&gt;
 &lt;br /&gt;
 &lt;br&gt;-Pelaku Usaha agar melakukan perbaikan dokumen Program Proteksi dan Keselamatan Radiasi sesuai arahan tim Inspeksi.&lt;br /&gt;
 &lt;br /&gt;
 Unggah dokumen yang sudah diperbaiki tersebut melalui menu TLHI (Tindak Lanjut Hasil Inspeksi) di Sistem BALIS INFARA (https://balis-infara.bapeten.go.id) sebagai bukti tindak lanjut hasil inspeksi.&lt;br /&gt;
 &lt;br /&gt;
 &lt;br&gt;</t>
  </si>
  <si>
    <t>logbook penggunaan portabel xray untuk acf TB
 https://docs.google.com/spreadsheets/d/1aS7exDzrNNGA-7EcyL7iHKvNksrGM1UyU9O86uzAiCI/edit?gid=0#gid=0sop ap proteksi radiasi terhadap ibu hamiluntuk rekaman pelatihan, kami akan melaksanakan wevinar proteksi dan keselamatan radiasi pada tgl 19 oktober 2026</t>
  </si>
  <si>
    <t>Terdapat sertifikat uji kesesuaian yang habis masa berlaku pada 26 Sept 2025, yaitu:
 1. CT-Scan Konvensional Philips, tipe unit: Ingenuity CT no. seri unit: 342000 tipe tabung: MRC880, no. seri tabung: 168919</t>
  </si>
  <si>
    <t>-Melakukan uji kesesuaian untuk pesawat CT Scan Konvensional Philips tipe tabung MRC880 nomor seri tabung 168919.&lt;br /&gt;
 &lt;br /&gt;
 Untuk menutup temuan, unggah LHU melalui menu TLHI pada sistem Balis Infara 2.0 https://balis-infara.bapeten.go.id/ sebagai bukti tindak lanjut hasil inspeksi.&lt;br /&gt;
 &lt;br&gt;-Memperbarui dokumen Program Proteksi dan Keselamatan Radiasi sesuai dengan masukan yang sudah dberikan oleh Tim Inspektur.&lt;br /&gt;
 &lt;br /&gt;
 Untuk menutup temuan, unggah dokumen Program Proteksi dan Keselamatan Radiasi terbaru melalui menu TLHI pada sistem Balis Infara 2.0 https://balis-infara.bapeten.go.id/ sebagai bukti tindak lanjut hasil inspeksi.&lt;br&gt;</t>
  </si>
  <si>
    <t>Sudah dilakukan uji kesesuaian alat CT Scan Philips Ingenuity dan kami lampirkan LHU Uji kesesuaian tersebut.</t>
  </si>
  <si>
    <t>1. Rekaman pelatihan internal berkaitan dengan proteksi radiasi belum tersedia
 2. Logbook perbaikan dan perawatan peralatan analisis dan pengukuran (gauging) belum tersedia.</t>
  </si>
  <si>
    <t>-1. Menyediakan rekaman pelatihan internal berkaitan dengan proteksi dan keselamatan radiasi. (daftar hadir, foto pelatihan internal).&lt;br /&gt;
 &lt;br /&gt;
 2. Menyediakan logbook perbaikan dan perawatan untuk peralatan analisis dan pengukuran (gauging).&lt;br /&gt;
 &lt;br /&gt;
 Untuk menutup temuan, unggah logbook perbaikan dan perawatan dan rekaman pelatihan Proteksi dan Keselamatan Radiasi melalui menu TLHI pada sistem Balis Infara 2.0 https://balis-infara.bapeten.go.id/ sebagai bukti tindak lanjut hasil inspeksi.&lt;br&gt;-Memperbarui dokumen Program Proteksi dan Keselamatan Radiasi sesuai dengan masukan yang sudah dberikan oleh Tim Inspektur.&lt;br /&gt;
 &lt;br /&gt;
 Untuk menutup temuan, unggah dokumen Program Proteksi dan Keselamatan Radiasi terbaru melalui menu TLHI pada sistem Balis Infara 2.0 https://balis-infara.bapeten.go.id/ sebagai bukti tindak lanjut hasil inspeksi.&lt;br /&gt;
 &lt;br&gt;</t>
  </si>
  <si>
    <t>SOSIALISASI PPRLOGBOOK PERAWATAN DAN PERBAIKAN ALAT</t>
  </si>
  <si>
    <t>Belum menyediakan dokumen prosedur pengoperasian pesawat X-ray mobile Mednif dan Iray portable digital</t>
  </si>
  <si>
    <t>-Menyediakan dokumen prosedur pengoperasian pesawat X-ray mobile Mednif dan Iray portable digital.&lt;br /&gt;
 &lt;br /&gt;
 Untuk menutup temuan, unggah dokumen prosedur pengoperasian terbaru melalui menu TLHI pada sistem Balis Infara 2.0 https://balis-infara.bapeten.go.id/ sebagai bukti tindak lanjut hasil inspeksi.&lt;br /&gt;
 &lt;br&gt;-Memperbarui dokumen Program Proteksi dan Keselamatan Radiasi sesuai dengan masukan yang sudah dberikan oleh Tim Inspektur.&lt;br /&gt;
 &lt;br /&gt;
 Untuk menutup temuan, unggah dokumen Program Proteksi dan Keselamatan Radiasi terbaru melalui menu TLHI pada sistem Balis Infara 2.0 https://balis-infara.bapeten.go.id/ sebagai bukti tindak lanjut hasil inspeksi.&lt;br /&gt;
 &lt;br&gt;</t>
  </si>
  <si>
    <t>Belum tersedia Prosedur penyinaran untuk pasien anak-anak dan pasien lanjut usia</t>
  </si>
  <si>
    <t>-Membuat prosedur penyinaran untuk pasien anak-anak dan pasien lanjut usia.&lt;br /&gt;
 &lt;br /&gt;
 Untuk menutup temuan, unggah prosedur penyinaran untuk pasien anak-anak dan pasien lanjut usia melalui menu TLHI pada sistem Balis Infara 2.0 https://balis-infara.bapeten.go.id/ sebagai bukti tindak lanjut hasil inspeksi.&lt;br /&gt;
 &lt;br&gt;-Memperbarui dokumen Program Proteksi dan Keselamatan Radiasi sesuai dengan masukan yang sudah dberikan oleh Tim Inspektur.&lt;br /&gt;
 &lt;br /&gt;
 Untuk menutup temuan, unggah dokumen Program Proteksi dan Keselamatan Radiasi terbaru melalui menu TLHI pada sistem Balis Infara 2.0 https://balis-infara.bapeten.go.id/ sebagai bukti tindak lanjut hasil inspeksi.&lt;br&gt;</t>
  </si>
  <si>
    <t>SPO Pemeriksaan Anak dan LansiaProgram Proteksi dan Keselematan Radiasi 2026 (sudah dimasukkan SPO Pemeriksaan Anak dan Lansia)</t>
  </si>
  <si>
    <t>1. SOP Penyinaran untuk Lansia, SOP Penyinaran Pasien Anak dan SOP Penyinaran Pasien Hamil atau diduga hamil belum tersedia 
 2. Pelatihan Personil belum terdokumentasi</t>
  </si>
  <si>
    <t>-• Menyediakan SOP Penyinaran untuk Lansia, SOP Penyinaran Pasien Anak dan SOP Penyinaran Pasien Hamil&lt;br /&gt;
 • Mendokumentasikan kegiatan perlatihan personil &lt;br /&gt;
 &lt;br /&gt;
 Untuk menutup temuan, unggah dokumen SOP dan dokumentasi/rekaman pelatihan personil melalui menu TLHI pada sistem Balis Infara 2.0 https://balis-infara.bapeten.go.id/ sebagai bukti tindak lanjut hasil inspeksi.&lt;br /&gt;
 &lt;br&gt;-Memperbarui dokumen Program Proteksi dan Keselamatan Radiasi sesuai dengan masukan yang sudah dberikan oleh Tim Inspektur.&lt;br /&gt;
 &lt;br /&gt;
 Untuk menutup temuan, unggah dokumen Program Proteksi dan Keselamatan Radiasi terbaru melalui menu TLHI pada sistem Balis Infara 2.0 https://balis-infara.bapeten.go.id/ sebagai bukti tindak lanjut hasil inspeksi.&lt;br /&gt;
 &lt;br&gt;</t>
  </si>
  <si>
    <t>SPO pemeriksaan radiografi anak, lansia, ibu hamil dan rekaman pelatihan</t>
  </si>
  <si>
    <t>Prosedur penyinaran x-ray untuk pasien lansia belum tersedia.</t>
  </si>
  <si>
    <t>-Menyediakan prosedur penyinaran x-ray untuk pasien lansia.&lt;br /&gt;
 &lt;br /&gt;
 Untuk menutup temuan, unggah prosedur penyianran untuk pasien lansia melalui menu TLHI pada sistem Balis Infara 2.0 https://balis-infara.bapeten.go.id/ sebagai bukti tindak lanjut hasil inspeksi.&lt;br /&gt;
 &lt;br&gt;-a. Memperbarui prosedur penyinaran x-ray untuk anak-anak.&lt;br /&gt;
 &lt;br /&gt;
 Untuk menutup temuan, unggah Prosedur penyinaran x-ray untuk anak-anak yang sudah diperbarui melalui menu TLHI pada sistem Balis Infara 2.0 https://balis-infara.bapeten.go.id/ sebagai bukti tindak lanjut hasil inspeksi.&lt;br /&gt;
 &lt;br /&gt;
 b. Melengkapi tabel eksposi dengan kondisi pasien.&lt;br /&gt;
 Untuk menutup temuan, unggah tabel eksposi terbaru melalui menu TLHI pada sistem Balis Infara 2.0 https://balis-infara.bapeten.go.id/ sebagai bukti tindak lanjut hasil inspeksi.&lt;br /&gt;
 &lt;br /&gt;
 c. Memperbarui dokumen Program Proteksi Keselamatan Radiasi sesuai dengan masukan dari Tim Inspektur.&lt;br /&gt;
 &lt;br /&gt;
 Untuk menutup temuan, unggah dokumen Program Keamanan Zat Radioaktif dan dokumen Program Proteksi Keselamatan Radiasi terbaru melalui menu TLHI pada sistem Balis Infara 2.0 https://balis-infara.bapeten.go.id/ sebagai bukti tindak lanjut hasil inspeksi.&lt;br /&gt;
 &lt;br&gt;</t>
  </si>
  <si>
    <t>- Perawatan peralatan uji tak rusak tidak rutin dilakukan dan tidak tercatat</t>
  </si>
  <si>
    <t>-Melaksanakan perawatan peralatan uji tak rusak dan mencatat ke dalam logbook perawatan peralatan.&lt;br /&gt;
 &lt;br /&gt;
 Untuk menutup temuan, unggah logbook perbaikan dan perawatan peralatan melalui menu TLHI pada sistem Balis Infara 2.0 https://balis-infara.bapeten.go.id/ sebagai bukti tindak lanjut hasil inspeksi.&lt;br /&gt;
 &lt;br&gt;-Memperbarui dokumen Program Keamanan Zat Radioaktif dan dokumen Program Proteksi Keselamatan Radiasi sesuai dengan masukan dari Tim Inspektur.&lt;br /&gt;
 &lt;br /&gt;
 Untuk menutup temuan, unggah dokumen Program Keamanan Zat Radioaktif dan dokumen Program Proteksi Keselamatan Radiasi terbaru melalui menu TLHI pada sistem Balis Infara 2.0 https://balis-infara.bapeten.go.id/ sebagai bukti tindak lanjut hasil inspeksi.&lt;br /&gt;
 &lt;br&gt;</t>
  </si>
  <si>
    <t>Terdapat dokumen dan rekaman yang belum tersedia:
 a. Sertifikat Uji Kebocoran Zat Radioaktif.
 b. Rekaman Pelaksanaan Pelatihan Personil.
 c. Log Book Perbaikan dan Perawatan.</t>
  </si>
  <si>
    <t>-Pelaku Usaha agar melakukan pembuatan dan/atau perbaikan dokumen dan rekaman sesuai dengan rekomendasi inspektur.&lt;br /&gt;
 &lt;br /&gt;
 Untuk menutup temuan, unggah bukti tindak lanjut berupa dokumen/rekaman yang sudah dibuat/diperbaiki melalui menu TLHI (Tindak Lanjut Hasil Inspeksi) di Sistem Balis Infara sebagai bukti tindak lanjut hasil inspeksi (https://balis-infara. bapeten.go.id).&lt;br&gt;</t>
  </si>
  <si>
    <t>Sertifikat Uji Kebocoran Zat RadioaktifLog Book Perbaikan &amp; PerawatanRekaman Pelaksanaan Pelatihan Personil</t>
  </si>
  <si>
    <t>Terdapat rekaman yang tidak tersedia:
 1. Rekaman Pelaksanaan Pelatihan Personil
 2. Laporan pelaksanaan Pengangkutan Zat Radioaktif dalam jangka waktu paling lama 5 (lima) hari kerja setelah Pengangkutan Zat Radioaktif selesai dilakukan.</t>
  </si>
  <si>
    <t>-Pelaku Usaha agar melakukan pembuatan dan/atau perbaikan dokumen dan rekaman sesuai dengan rekomendasi inspektur.&lt;br /&gt;
 &lt;br /&gt;
 Untuk menutup temuan, unggah bukti tindak lanjut berupa dokumen/ rekaman yang sudah diperbaiki menu TLHI (Tindak Laljut Hasil Inspeksi) di Sistem Balis Infara (https ://balis-infara.bapeten.go.id) sebagai bukti tindak lanjut hasil inspeksi.&lt;br&gt;</t>
  </si>
  <si>
    <t>1. Pelaksanaan pelatihan personil tentang program proteksi dan keselamatan radiasi untuk pemahaman dan kesadaran atas pentingnya keselamatan dalam kegiatan Radiografi Industri.
 2. Berikut kami lampirkan persetujuan pengangkutan multilokasiBerikut bentuk pelaporan pengangkutan Zat Radioaktif</t>
  </si>
  <si>
    <t>Terdapat dokumen dan rekaman yang belum tersedia:
 a. Rekaman Pelaksanaan Pelatihan Personil
 b. Log Book Perbaikan dan Perawatan</t>
  </si>
  <si>
    <t>-Pelaku Usaha agar melakukan pembuatan dan/atau perbaikan dokumen dan rekaman sesuai dengan rekomendasi inspektur.&lt;br /&gt;
 &lt;br /&gt;
 Untuk menutup temuan, unggah bukti tindak lanjut berupa dokumen/rekaman yang sudah diperbaiki menu TLHI (Tindak Lanjut Hasil Inspeksi) di Sistem Balis Infara (https://balis-infara. bapeten.go.id) sebagai bukti tindak lanjut hasil inspeksi.&lt;br /&gt;
 &lt;br&gt;</t>
  </si>
  <si>
    <t>Pelaksaan Pelatihan Personil berupa sosialisasi terhadap paparan radiasi X-ray untuk pekerja sudah dilakukan. Dilampirkan rekaman berupa absensi, materi yang disampaikan beserta dokumentasi.
 Logbook Perbaikan dan Perawatan Alat sudah dibuat</t>
  </si>
  <si>
    <t>Tidak terdapat SOP, logbook perawatan, dan Dokumen Program Proteksi.</t>
  </si>
  <si>
    <t>-Seluruh dokumen dan prosedur pendukung ada di PT Senjaya Solusi Sekurindo.&lt;br /&gt;
 &lt;br /&gt;
 Untuk menutup temuan, unggah bukti Dokumen Program Proteksi tersebut pada menu TLHI (Tindak Lanjut Hasil Inspeksi) Balis Infara (https://balis-infara.bapeten.go.id) sebagai bukti tindak lanjut hasil inspeksi.&lt;br /&gt;
 &lt;br&gt;</t>
  </si>
  <si>
    <t>Tidak ada logbook catatan dosimeter baca langsung</t>
  </si>
  <si>
    <t>-Pelaku usaha agar melakukan perbaikan dokumen program proteksi radiasi dan SOP pendamping pasien.&lt;br /&gt;
  &lt;br /&gt;
 Untuk menutup temuan unggah dokumen yang telah diperbaiki melalui menu TLHI (Tindak Lanjut Hasil Inspeksi) di Sistem Balis Infara (https://balis-infara.bapeten.go.id) sebagai bukti tindak lanjut hasil inspeksi.&lt;br&gt;-Pelaku usaha agar menyediakan logbook catatan dosimeter baca langsung.&lt;br&gt;</t>
  </si>
  <si>
    <t>Perbaikan Dokumen PPR sesuai arahan tim Inspektur BapetenLog Tabel Pendose cathlab RS UIN Syarif Hidayatullah Jakarta</t>
  </si>
  <si>
    <t>Dokumen tidak tersedia yaitu Program Proteksi dan Keselamatan Radiasi.
 Sesuai Perba Nomor 5 Tahun 2025 Tentang Standar Kegiatan Usaha Dan Atau Standar Produk Jasa Pada Penyelenggaraan Perizinan Berusaha Berbasis Risiko Sektor Ketenaganukliran, IZIN PEMINDAI BAGASI dipersyaratakan Dokumen Program Proteksi dan Keselamatan Radiasi.</t>
  </si>
  <si>
    <t>-Pelaku Usaha agar membuat Dokumen Program Proteksi dan Keselamatan Radiasi.&lt;br /&gt;
 &lt;br /&gt;
 Untuk menutup temuan unggah Dokumen Program Proteksi dan Keselamatan Radiasi pada menu TLHI (Tindak Lanjut Hasil Inspeksi) BALIS INFARA (https://balis-infara.bapeten.go.id) sebagai bukti tindak lanjut hasil inspeksi.&lt;br&gt;</t>
  </si>
  <si>
    <t>Terlampir program proteksi radiasi PT Trans Dana Profitri</t>
  </si>
  <si>
    <t>Belum tersedia dokumen program proteksi radiasi.</t>
  </si>
  <si>
    <t>-Pelaku usaha agar menyediakan dokumen program proteksi radiasi.&lt;br /&gt;
 &lt;br /&gt;
 Untuk menutup temuan unggah dokumen program proteksi radiasi, melalui menu TLHI (Tindak Lanjut Hasil Inspeksi) di Sistem Balis Infara (https://balis-infara.bapeten.go.id) sebagai bukti tindak lanjut hasil inspeksi.&lt;br&gt;</t>
  </si>
  <si>
    <t>Kami sudah membuat program proteksi radiasi.</t>
  </si>
  <si>
    <t>Laporan distribusi / rekapitulasi realisasi impor sudah dibuat, belum dilaporkan melalui email DIFRZR.</t>
  </si>
  <si>
    <t>-Pelaku usaha agar menyampaikan pelaporan distribusi / rekapitulasi realisasi impor melalui email DIFRZR difrzr@bapeten.go.id.&lt;br /&gt;
 &lt;br /&gt;
 Untuk menutup temuan unggah bukti email ke DIFRZR, melalui menu TLHI &lt;br /&gt;
 (Tindak Lanjut Hasil Inspeksi) di Sistem Balis Infara (https://balis_x0002_infara.bapeten.go.id) sebagai bukti tindak lanjut hasil inspeksi.&lt;br&gt;-Pelaku usaha agar melakukan kaji ulang pembatas dosis.&lt;br /&gt;
 &lt;br /&gt;
 Untuk menutup temuan unggah dokumen program proteksi radiasi yang telah diperbaiki, melalui menu TLHI (Tindak Lanjut Hasil Inspeksi) di Sistem Balis Infara (https://balisinfara.bapeten.go.id) sebagai bukti tindak lanjut hasil inspeksi.&lt;br&gt;</t>
  </si>
  <si>
    <t>pelaporan distribusi / rekapitulasi realisasi impor melalui email DIFRZR difrzr@bapeten.go.id terlampir bukti pengiriman email tersebut</t>
  </si>
  <si>
    <t>03.07.03</t>
  </si>
  <si>
    <t>Perlu perbaikan dokumen dan rekaman</t>
  </si>
  <si>
    <t>Perlu Perbaikan dokumen/Rekaman :
 a. Updating SOP Penggunaan Pesawat sinar X Konvensional
 b. Perlu perbaikan dalam dokumen program proteksi radiasi :
 - Perbaikan dasar hukum yaitu Perka No. 3 Tahun 2021 dan Perka No. 1 Tahun 2022 menjadi Perka No. 5 Tahun 2025 dan Penambahan Referensi PP No. 28 Tahun 2025 di latar belakang dan dasar acuan 
 - Memperbaiki definisi daerah pengendalian dengan menambahkan kriteria potensi paparan radiasi yang diterima oleh pekerja pada halaman 19
 - Melakukan kaji ulang pembatas dosis untuk pekerja radiasi
 c. Perlu perbaikan dalam dokumen Kajian Keselamatan :
 - Perbaikan referensi peraturan yaitu Perka No. 3 Tahun 2021, Perka No. 1 Tahun 2022 dan menjadi Perka No. 5 Tahun 2025 dan Penambahan Referensi PP No. 28 Tahun 2025 di latar belakang dan referensi
 - Penetapan kaji ulang pembatas dosis</t>
  </si>
  <si>
    <t>a. Perlu perbaikan dalam dokumen program proteksi radiasi :
 1. Perbaikan dasar hukum yaitu Peraturan BAPETEN No. 3 Tahun 2021 tentang Standar Kegiatan Usaha dan Standar Produk Pada Penyelenggaraan Perizinan Berusaha Berbasis Risiko Sektor Ketenaganukliran Manjadi PP No. 28 Tahun 2025 di latar belakang dan dasar acuan 
 2. Penetapan pembatas dosis perlu dikaji ulang
 b. Perlu perbaikan dalam dokumen Kajian Keselamatan :
 1. Perbaikan dasar hukum yaitu Peraturan BAPETEN No. 3 Tahun 2021 tentang Standar Kegiatan dan Standar Produk Pada Penyelenggaraan Perizinan Berusaha Berbasis Risiko Sektor Ketenaganukliran menjadi Peraturan BAPETEN No. 5 Tahun 2025 dan Penambahan Referensi PP No. 28 Tahun 2025 tentang Penyelenggaraan Perizinan Berusaha Berbasis Risiko di latar belakang dan dasar acuan</t>
  </si>
  <si>
    <t>Perlu perbaikan :
 a. Dokumen program proteksi radiasi :
 1. Perbaikan referensi peraturan yaitu Perka No. 3 Tahun 2021 dan Perka No. 1 Tahun 2022 menjadi Perka No. 5 Tahun 2025 dan Penambahan Referensi PP No. 28 Tahun 2025 di latar belakang dan dasar acuan 
 2. Penambahan di BAB III Terkait deskripsi pesawat PET/CT dan SPECT CT, seperti data nomor seri unit dan nomor seri tabung, dan tahun pembuatan dan pemasangan.
 b. Dokumen Kajian Keselamatan : 
 1. Perbaikan dasar hukum yaitu Peraturan BAPETEN No. 3 Tahun 2021 tentang Standar Kegiatan Usaha dan Standar Produk Pada Penyelenggaraan Perizinan Berusaha Berbasis Risiko Sektor Ketenaganukliran menjadi Peraturan BAPETEN No. 5 Tahun 2025 dan Penambahan Referensi PP No. 28 Tahun 2025 tentang Penyelenggaraan Perizinan Berusaha Berbasis Risiko di latar belakang dan dasar acuan
 2. Penetapan pembatas dosis perlu dikaji ulang
 c. Program keamanan ZRA : 
 1. Perbaikan referensi peraturan No. 06 Tahun 2015 menjadi Perka No. 05 Tahun 2024 tentang tentang Keamanan Zat Radioaktif
 2. Perbaikan Isi dan uraian dokumen belum memenuhi ketentuan program keamanan zat radioaktif berdasarkan Perka No. 05 Tahun 2024 (contoh program keamanan ZRA dapat dilihat di lampiran halaman 62)
 d. Dokumen Sistem Manajemen 
 1. Harap mengacu pada Perba No. 6 tahun 2023 tentang Sistem Manajemen Fasilitas dan Kegaiatan Pemanfaatan Tenaga Nuklir. 
 2. Sesuai dengan Perba Nomor 6 tahun 2023 tentang Sistem Manajemen Fasilitas dan kegiatan Pemanfaatan tenaga Nuklir, bila RS telah memiliki Sistem Manajemen maka pemohon izin dapat melakukan acu silang dengan format mengikuti pada ketentuan Lampiran II Perba.
 e. Program dekomisioning : 
 1. Perbaikan dasar hukum yaitu Peraturan BAPETEN No. 3 Tahun 2021 tentang Standar Kegiatan Usaha dan Standar Produk Pada Penyelenggaraan Perizinan Berusaha Berbasis Risiko Sektor Ketenaganukliran menjadi Peraturan BAPETEN No. 5 Tahun 2025 dan Penambahan Referensi PP No. 28 Tahun 2025 tentang Penyelenggaraan Perizinan Berusaha Berbasis Risiko di latar belakang dan dasar acuan 
 2. Penyesuaian dengan isi dan ketentuan yang terdapat di Perka No. BAPETEN 05 Tahun 2025 tentang Standar Kegiatan Usaha dan/atau Standar Produk/Jasa pada Penyelenggaraan Perizinan</t>
  </si>
  <si>
    <t>Perbaikan dokumen:
 a. Program proteksi dan keselamatan radiasi, dokumen kajian keselamatan, program dekomisioning dan dokumen sistem manajemen:
 Memperbaiki referensi peraturan yang dijadikan acuan:
 - PP No. 3 Tahun 2021 telah diubah menjadi PP No. 28 Tahun 2025
 - Peraturan BAPETEN No. 3 Tahun 2021 dan Peraturan BAPETEN No. 1 Tahun 2022 telah di amendemen menjadi Peraturan BAPETEN No. 5 Tahun 2025;
 b. Program Keamanan ZRA: revisi dokumen dengan mengacu kepada Peraturan BAPETEN No. 5 Tahun 2024 (amandemen Peraturan Kepala BAPETEN No. 15 Tahun 2015)</t>
  </si>
  <si>
    <t>Telah dilakukan revisi dan pembaruan seluruh dokumen sesuai dengan ketentuan peraturan perundang-undangan yang berlaku</t>
  </si>
  <si>
    <t>a. Perlu perbaikan dalam dokumen program proteksi radiasi :
 1. Perbaikan referensi peraturan yaitu Perka No. 3 Tahun 2021 dan Perka No. 1 Tahun 2022 menjadi Perka No. 5 Tahun 2025 dan Penambahan Referensi PP No. 28 Tahun 2025 di latar belakang dan dasar acuan 
 2. Penetapan pembatas dosis perlu dikaji ulang
 b. Perlu perbaikan dalam dokumen Kajian Keselamatan :
 1. Perbaikan referensi peraturan yaitu Perka No. 3 Tahun 2021, Perka No. 1 Tahun 2022 menjadi Perka No. 5 Tahun 2025 dan Penambahan Referensi PP No. 28 Tahun 2025 di latar belakang dan referensi</t>
  </si>
  <si>
    <t>Dokumen program proteksi dan keselamatan radiasi terdapat bagian yang harus diperbaiki, yaitu: 
 - Pada SubBab 1.1, Dasar Hukum agar ditambahkan PP No. 28 Tahun 2025, Perba No. 5 Tahun 2025
 - Belum melakukan kajian nilai pembatas dosis yang ditetapkan berdasarkan riwayat penerimaan dosis pekerja radiasi.</t>
  </si>
  <si>
    <t>PERBAIKAN DOKUMEN DAN REKAMAN</t>
  </si>
  <si>
    <t>Dokumen program proteksi dan keselamatan radiasi terdapat bagian yang harus diperbaiki, yaitu: 
 - Pada SubBab I.1, Dasar Hukum Perba 3 Tahun 2021 dan Perba 1 Tahun 2022 agar diganti menjadi Perba No. 5 Tahun 2025.
 - Pada SubBab II.1 Struktur Organisasi Penyelenggara Keselamatan Radiasi dan pemutakhiran data pekerja radiasi.
 - Pada halaman 53 dan 54, deskripsi perlengkapan proteksi radiasi untuk diperbarui sesuai kondi terkini.</t>
  </si>
  <si>
    <t>Program Proteksi Radiologi Diagnostik dan Intervensi RSUP Makassar</t>
  </si>
  <si>
    <t>Dokumen program proteksi dan keselamatan radiasi terdapat bagian yang harus diperbaiki, yaitu: 
 - Pada SubBab 1.1 dan pada halaman 57, agar ditambahkan PP 45 Tahun 2023, PP No. 28 Tahun 2025, dan Perba No. 5 Tahun 2025
 - Pada SubBab II.1, belum mencantumkan pemutakhiran data pekerja radiasi.
 - Pada SubBab VI.1, agar menghapus pemantauan radioaktivitas lingkungan (karena yang digunakan di fasilitas RS adalah Pembangkit Radiasi Pengion).
 - Belum melakukan kajian nilai pembatas dosis yang ditetapkan berdasarkan riwayat penerimaan dosis pekerja radiasi.</t>
  </si>
  <si>
    <t>Dok PPKRPerbaikan okumen PPKR</t>
  </si>
  <si>
    <t>Dokumen program proteksi dan keselamatan radiasi terdapat bagian yang harus diperbaiki, yaitu: 
 - Pada SubBab 1.1 agar ditambahkan Perba No. 5 Tahun 2025.
 - Pada bagan struktur organisasi penyelenggara keselamatan radiasi, agar disesuaikan dengan kondisi di RS.
 - Pada SubBab VI.1, agar menghapus pemantauan radioaktivitas lingkungan (karena yang digunakan di fasilitas RS adalah Pembangkit Radiasi Pengion).
 - Belum melakukan kajian nilai pembatas dosis yang ditetapkan berdasarkan riwayat penerimaan dosis pekerja radiasi.</t>
  </si>
  <si>
    <t>Telah melakukan tindak lanjut perbaikan pada Dokumen program Proteksi Radiasi dan keselamatan Radiasi yaitu :
 1. Sub Bab 1.1 Telah ditambahkan Peraturan BAPETEN No 5 Tahun 2025 Tentang Standar kegiatan usaha berserta standar
  produk/ jasa dalam penyelenggaraan perizinan berusaha berbasis resiko disektor Ketenaganukliran .
 2. Struktur Organisasi disesuaikan dengan kondisi RSUD Kota Makassar.
 3. Sub IV.1.3 Sudah menghapus pemantauan radioaktivitas lingkungan karena yang digunakan fasilitas di RSUD Kota
  Makassar adalah pembangkit Radiasi Pengion.
 4. Sudah melakukan Kajian Nilai pembatas Dosis yang ditetapkan berdasarkan riwayat penerimaan dosis pekerja Radiasi</t>
  </si>
  <si>
    <t>Dokumen program proteksi dan keselamatan radiasi terdapat bagian yang harus diperbaiki, yaitu: 
 - Pada SubBab 1.1, agar ditambahkan PP No. 28 Tahun 2025, Perba No. 5 Tahun 2025, dan Perba No. 2 Tahun 2022.
 - Belum melakukan kajian nilai pembatas dosis yang ditetapkan berdasarkan riwayat penerimaan dosis pekerja radiasi.</t>
  </si>
  <si>
    <t>Program Proteksi Dan Keselamatan Radiasi
 sub Bab 1.1 PP No.28 thn 2025,Perba No.5 Thn 2025,Perba No.2 Thn 2022Pembatas Dosis Pekerja Radiasi periode thn 2023-2025</t>
  </si>
  <si>
    <t>a. Dokumen program proteksi dan keselamatan radiasi terdapat bagian yang harus diperbaiki, yaitu: 
 - Pada SubBab I.1, Dasar Hukum Perba 3 Tahun 2021 dan Perba 1 Tahun 2022 agar diganti menjadi Perba No. 5 Tahun 2025.
 - Pada SubBab II.1 Struktur Organisasi Penyelenggara Keselamatan Radiasi diperbaiki sesuai dengan kondisi saat ini.
 b. Dokumen Program Keamanan Zat Radioaktif terdapat bagian yang harus diperbaiki, yaitu: 
 - Pada bagian Dasar Hukum, agar Perka 6 Tahun 2015 diganti dengan Perba 5 Tahun 2024 dan format dokumen mengikuti Perba tersebut.</t>
  </si>
  <si>
    <t>-Pihak Instansi agar melakukan perbaikan dokumen tersebut sesuai arahan tim Inspeksi.&lt;br /&gt;
 &lt;br /&gt;
 Unggah dokumen yang sudah diperbaiki tersebut melalui menu TLHI (Tindak Lanjut Hasil Inspeksi) di Sistem Balis Infara (https://balis-infara.bapeten.go.id) sebagai bukti tindak lanjut hasil inspeksi.&lt;br /&gt;
 &lt;br&gt;</t>
  </si>
  <si>
    <t>Instansi telah melakukan perbaikan dokumen tersebut sesuai arahan tim Inspeksi.</t>
  </si>
  <si>
    <t>Dokumen Program Proteksi dan Keselamatan Radiasi perlu diperbaiki:
 1. Dasar hukum
 2. Data personil
 3. Perlengkapan proteksi radiasi
 4. Pemutakhiran nilai pembatas dosis (dose connstraint) menggunakan perhitungan kuartil ketiga
 5. Data pendidikan dan pelatihan kompetensi personil</t>
  </si>
  <si>
    <t>Terlampir SPO atau SOP Penyinaran Radiasi Wanita Hamil dan Dokumen Program Proteksi Radiasi yang sudah diperbaiki atau diperbaharui sesuai rekomendasi tim inspektur BAPETEN</t>
  </si>
  <si>
    <t>Dokumen Program Proteksi dan Keselamatan Radiasi perlu diperbaiki sesuai dengan arahan inspektur.</t>
  </si>
  <si>
    <t>SOP PEMERIKSAAN RADIOLOGI PADA IBU HAMILMemperbaiki Dokumen Program Proteksi Radiasi yang terdiri dari No Seri Alat Mammography dan Perhitungan Dosis Pekerja Radiasi Menggunakan Kuartil Tiga</t>
  </si>
  <si>
    <t>Dokumen Program Proteksi dan Keselamatan Radiasi, dan dokumen terkait lain agar mengacu pada peraturan terbaru. Khusus peralatan gauging agar mengikuti Peraturan BAPETEN nomor 2 tahun 2025 tentang Keselamatan Radiasi dalam Penggunaan Sumber Radiasi Pengion untuk Peralatan Pengukuran (gauging).</t>
  </si>
  <si>
    <t>-Pelaku usaha agar memperbaiki dokumen Program Proteksi Radiasi, dan dokumen terkait lain sesuai dengan rekomendasi tim inspektur dalam catatan temuan.&lt;br /&gt;
 &lt;br /&gt;
 Untuk menutup temuan, unggah dokumen program proteksi radiasi, dan dokumen terkait lain yang sudah diperbaiki melalui menu TLHI (Tindak Lanjut Hasil Inspeksi) di Sistem Balis Infara (https://balis-infara.bapeten.go.id) sebagai bukti tindak lanjut hasil inspeksi.&lt;br&gt;</t>
  </si>
  <si>
    <t>Dokumen Program Proteksi dan Keselamatan Radiasi (BAI 2026) Dokumen Program Keamaan Sumber Radioaktif (BAI 2026)Dokumen Rencana Teknis Bangunan Penahan Radiasi (BAI 2026)Dokumen Rencana Bangunan Utilitas Operasi Pemanfaatan Sumber Radiasi Pengion (BAI 2026)</t>
  </si>
  <si>
    <t>Dokumen Program Proteksi dan Keselamatan Radiasi perlu diperbaiki:
 a. Penetapan Pembatas Dosis untuk Pekerja Radiasi dan Anggota Masyarakat
 b. Sertifikat Uji kesesuaian pesawat sinar-X Pesawat Sinar-X Fluoroskopi ( C-arm Penunjang Bedah), merk: Eurocolumbus SRL, Tipe: G689, No. Seri: 889230P telah kedaluarsa (pengujian tahun 2021)</t>
  </si>
  <si>
    <t>-RSHS segera memperbaiki Dokumen Program Proteksi dan Keselamatan Radiasi&lt;br /&gt;
 &lt;br /&gt;
 Untuk menutup temuan, unggah bukti Dokumen Program Proteksi dan Keselamatan Radiasi update pada menu TLHI (Tindak Lanjut Hasil Inspeksi) Balis Infara (https://balis-infara.bapeten.go.id) sebagai bukti tindak lanjut hasil inspeksi&lt;br&gt;-RSHS segera melakukan uji kesesuaian pesawat sinar-X Fluoroskopi (C-arm Penunjang Bedah), merk: Eurocolumbus SRL, Tipe: G689, No. Seri: 889230P.&lt;br /&gt;
 &lt;br /&gt;
 &lt;br /&gt;
 Untuk menutup temuan, unggah bukti pelaksanaan uji kesesuaian pesawat sinar-X pada menu TLHI(Tindak Lanjut Hasil Inspeksi) Balis Infara (https://balis-infara.bapeten.go.id) sebagai bukti tindak lanjut hasil inspeksi.&lt;br /&gt;
 &lt;br&gt;</t>
  </si>
  <si>
    <t>Uji Kesesuaian Terbaru untuk alat C Arm Eurocolumbus Alien Cardio 2020Update Dokumen Program Proteksi dan Keselamatan Radiasi Radiologi Diagnostik dan Intervensional terkait update KTUN, Pekerja Radiasi, dan Pembatas Dosis</t>
  </si>
  <si>
    <t>Dokumen Program Proteksi dan Keselamatan Radiasi perlu perbaikan:
 1. Regulasi belum update
 2. Nama instansi masih menggunakan BATAN
 3. Pembatas Dosis untuk pekerja radiasi dan anggota masyarakat belum ditetapkan</t>
  </si>
  <si>
    <t>-Pelaku Usaha segera memperbaiki Dokumen Program Proteksi dan Keselamatan Radiasi&lt;br /&gt;
 &lt;br /&gt;
 Untuk menutup temuan, unggah bukti Dokumen Program Proteksi dan Keselamatan Radiasi update pada menu TLHI (Tindak Lanjut Hasil Inspeksi) Balis Infara (https://balis-infara.bapeten.go.id) sebagai bukti tindak lanjut hasil inspeksi&lt;br&gt;</t>
  </si>
  <si>
    <t>Pembaharuan Dokumen Program Proteksi dan Keselamatan Radiasi</t>
  </si>
  <si>
    <t>Dokumen program proteksi radiasi versi tanggal 2 April 2026 perlu perbaikan:
 a. Pembatas dosis untuk pekerja radiasi dan anggota masyarakat untuk diupdate sesuai ketentuan. Pembatas dosis yang ditetapkan untuk anggota masyarakat = 0,5 mSv/tahun, sesuai regulasi seharusnya 0,3 mSv/tahun
 b. Regulasi yang diacu perlu diupdate dengan regulasi terbaru
 c. Ionisation chamber PTW REF TW30013, No. Seri: 247533 yang terkalibrasi oleh pabrikan belum dimasukan dalam dokumen program proteksi</t>
  </si>
  <si>
    <t>-Pelaku Usaha segera memperbaiki dokumen program proteksi dan keselamatan radiasi&lt;br /&gt;
 &lt;br /&gt;
 Untuk menutup temuan, unggah dokumen program proteksi dan keselamatan radiasi update pada menu TLHI (Tindak Lanjut Hasil Inspeksi) Balis Infara (https://balis-infara.bapeten.go.id) sebagai bukti tindak lanjut hasil inspeksi&lt;br&gt;</t>
  </si>
  <si>
    <t>Telah dilakukan perubahan NBD dan NPD untuk pekerja radiasi/ daerah pengendalian dan masyarakat/ daerah supervisi pada hal 38, dan penambahan type detektor pada hal 35</t>
  </si>
  <si>
    <t>1. Sertifikat uji kesesuaian pesawat sinar-X Panoramic berakhir sd 23 Mei 2026
 2. Dokumen Program Proteksi dan Keselamatan Radiasi perlu diperbaiki:
  - Regulasi yang diacu perlu diupdate meggunakan regulasi terbaru yaitu PP No. 28 Tahun 2025, Peraturan BAPETEN No. 5 Tahun 2025
  - Pembatas Dosis untuk Pekerja Radiasi untuk diupdate.</t>
  </si>
  <si>
    <t>-&lt;br&gt;-Pelaku Usaha segera melakukan uji kesesuaian ulang terhadap pesawat sinar-X Panoramic&lt;br /&gt;
 &lt;br /&gt;
 Untuk menutup temuan, unggah bukti pelaksanaan uji kesesuaian tersebut pada menu TLHI (Tindak Lanjut Hasil Inspeksi) Balis Infara (https://balis-infara.bapeten.go.id) sebagai bukti tindak lanjut hasil inspeksi&lt;br&gt;-Pelaku Usaha segera memperbaiki Dokumen Program Proteksi dan Keselamatan Radiasi&lt;br /&gt;
 &lt;br /&gt;
 Untuk menutup temuan, unggah bukti Dokumen Program Proteksi dan Keselamatan Radiasi update pada menu TLHI (Tindak Lanjut Hasil Inspeksi) Balis Infara (https://balis-infara.bapeten.go.id) sebagai bukti tindak lanjut hasil inspeksi&lt;br&gt;</t>
  </si>
  <si>
    <t>uji kesesuaian ulang terhadap pesawat sinar-X Panoramic masih dalam prosesMemperbaiki Dokumen Program Proteksi dan Keselamatan RadiasiHasil Uji Kesesuaian Pesawat Panoramic CS 8100</t>
  </si>
  <si>
    <t>Dokumen program proteksi radiasi dan keselamatan radiasi perlu diperbaiki:
 a. Regulasi PP No. 29 Tahun 2008, Peraturan BAPETEN No. 3 Tahun 2021, dan Peraturan BAPETEN No. 15 Tahun 2008 telah berubah menjadi PP No. 28 Tahun 2025, Peraturan BAPETEN No. 3 Tahun 2025, dan Peraturan BAPETEN No. 4 Tahun 2024
 b. Data Personel tidak sesuai dengan kondisi terkini
 c. Pembatas Dosis belum ditetapkan
 d. Terdapat surveymeter baru merk: Ranger, tipe: - , No. Seri: R319332</t>
  </si>
  <si>
    <t>Revisi dokumen program proteksi dan keselamatan radiasi.</t>
  </si>
  <si>
    <t>RSUD Kawali</t>
  </si>
  <si>
    <t>Jalan Raya Kawali-Cirebon No. 37, Winduraja</t>
  </si>
  <si>
    <t>Jalan Raya Kawali-Cirebon No. 37, Winduraja,Ciamis,Jawa Barat</t>
  </si>
  <si>
    <t>00094.01.13249.01.1.0526</t>
  </si>
  <si>
    <t>Surveymeter seharusnya digunakan oleh Petugas Proteksi Radiasi untuk pengukuran paparan radiasi di ruang operator dan ruang sekitar radiologi secara rutin. Perlu disediakan SOP Penggunaan Surveymeter</t>
  </si>
  <si>
    <t>-Pelaku Usaha membuat SOP penggunaan surveymeter untuk pengukuran paparan radiasi di ruang operator dan ruang sekitar radiologi secara rutin.&lt;br /&gt;
 &lt;br /&gt;
 Untuk menutup temuan, unggah SOP penggunaan surveymeter pada menu TLHI (Tindak Lanjut Hasil Inspeksi) Balis Infara (https://balis-infara.bapeten.go.id) sebagai bukti tindak lanjut hasil inspeksi&lt;br&gt;</t>
  </si>
  <si>
    <t>Membuat SOP Penggunaan Surveymeter</t>
  </si>
  <si>
    <t>Tanggal pengujian Uji Kesesuaian untuk pesawat Radiografi Umum: 13 Maret 2026
 Tanggal pengujian Uji Kesesuaian untuk pesawat CT Scan: 28 Desember 2022
 Tanggal pengujian Uji Kesesuaian untuk pesawat Radiografi Mobile: 11 Oktober 2020
 Tanggal pengujian Uji Kesesuaian untuk pesawat Panoramic: 5 Mei 2026
 Uji kesesuaian pesawat sinar-X Radiografi Mobil seharusnya dilakukan uji kesesuaian ulang tahun 2023. RS telah mengajukan permintaan untuk dilakukan uji kesesuaian 2 Oktober 2024 namun tidak terealisasi.
 Dokumen program proteksi dan keselamatan radiasi perlu diperbaiki pada bagian jumlah dan ketebalan apron.
 Kartu Dosis untuk setiap pekerja radiasi belum sesuai ketentuan</t>
  </si>
  <si>
    <t>-Pelaku Usaha segera melakukan uji kesesuaian kembali terhadap pesawat sinar-X Radiografi Mobile.&lt;br /&gt;
 &lt;br /&gt;
 Untuk menutup temuan, unggah bukti pelaksanaan uji kesesuaian kembali terhadap pesawat sinar-X Radiografi Mobile pada menu TLHI (Tindak Lanjut Hasil Inspeksi) Balis Infara (https://balis-infara.bapeten.go.id) sebagai bukti tindak lanjut hasil inspeksi&lt;br /&gt;
 &lt;br&gt;-Pelaku Usaha segera memperbaiki Dokumen Program Proteksi dan Keselamatan Radiasi&lt;br /&gt;
 &lt;br /&gt;
 Untuk menutup temuan, unggah bukti Dokumen Program Proteksi dan Keselamatan Radiasi update pada menu TLHI (Tindak Lanjut Hasil Inspeksi) Balis Infara (https://balis-infara.bapeten.go.id) sebagai bukti tindak lanjut hasil inspeksi&lt;br&gt;</t>
  </si>
  <si>
    <t>Telah dilakukan uji kesesuaian terhadap pesawat sinar-X Radiografi Mobil (Dongmun)Perbaikan Dokumen Program Proteksi dan Keselamatan RadiasiPenyesuaian Format Buku Dosis Personil</t>
  </si>
  <si>
    <t>Dokumen Program Proteksi dan Keselamatan Radiasi perlu diperbaiki:
 a. Regulasi mengacu pada regulasi terbaru
 b. Struktur organisasi belum terlihat garis koordinasi dan komando antara Pemegang Izin dan PPR.</t>
  </si>
  <si>
    <t>PENETAPAN STATUS 4 ALAT (DUODIAGNOST, VILLA ENDOGRAPH, SHIMADZU OPESCOPE DAN SIEMENS POLYMOBILE 1)PROGRAM PROTEKSI 2026 YANG TELAH DIREVISI</t>
  </si>
  <si>
    <t>Perbaikan dokumen dan rekaman:
 a.Program Proteksi dan Keselamatan:
 i. masih menggunakan PP 5/2021, harus diganti dengan PP 28/2025
 ii. masih menggunakan perba 3/2021 dan perba 1/2022, harus diganti perba 5/2025
 iii. daftar personil perlu dimutakhirkan agar sesuai dengan kondisi saat ini
 iv. kaji ulang pembatas dosis
 b. SOP:
 i. SOP pendamping pasien agar diperbaiki untuk mencantumkan ketentuan pada Peraturan BAPETEN No 4 Tahun 2020 pasal 49
 c. Logbook Pasien belum dilengkapi dengan data faktor eksposi dan berat badan pasien</t>
  </si>
  <si>
    <t>-BLU RUMAH SAKIT UMUM DR.SLAMET KABUPATEN GARUT wajib menyediakan dan melakukan perbaikan dokumen dan rekaman: sesuai dengan rekomendasi tim Inspektur BAPETEN. &lt;br /&gt;
 &lt;br /&gt;
 &lt;br /&gt;
 Unggah dokumen-dokumen tersebut pada menu TLHI (Tindak Lanjut Hasil Inspeksi) BALIS INFARA (https://balis-infara.bapeten.go.id) sebagai bukti tindak lanjut hasil inspeksi.&lt;br&gt;</t>
  </si>
  <si>
    <t>Perbaikan dokumen dan rekaman:
 a.Program Proteksi dan Keselamatan:
 i. masih menggunakan PP 29/2008, harus diganti dengan PP 28/2025
 ii. masih menggunakan PP 33/2007, harus diganti dengan PP 45/2023
 iii. daftar personil perlu dimutakhirkan agar sesuai dengan kondisi saat ini
 iv. kaji ulang pembatas dosis
 b. Logbook Pasien belum dilengkapi dengan data berat badan</t>
  </si>
  <si>
    <t>Logbook Pasien Program Proteksi dan Keselamatan Radiasi Radiologi Diagnostik dan Intervensional</t>
  </si>
  <si>
    <t>Perbaikan dokumen dan rekaman:
 a.Program Proteksi dan Keselamatan:
 i. masih menggunakan Perba 1/2022, harus diganti dengan Perba 5/2025
 ii. daftar personil perlu dimutakhirkan agar sesuai dengan kondisi saat ini
 iii. belum mencantumkan tanggung jawab dan kewajiban fisikawan medik
 iv. data perlengkapan proteksi radiasi perlu dimutakhirkan agar sesuai dengan kondisi saat ini
 v. kaji ulang pembatas dosis
 b. SOP:
 i. Sebagian SOP Pengoperasian alat belum dilengkapi dengan tabel acuan faktor eksposi
 c. Logbook Pasien belum dilengkapi dengan data faktor eksposi dan berat badan pasien</t>
  </si>
  <si>
    <t>-BLU RS. Tk. II. 03.05.01. Dustira / Kesdam III Siliwangi agar memperbaiki dokumen dan rekaman tersebut sesuai dengan rekomendasi inspektur&lt;br /&gt;
 &lt;br /&gt;
 Unggah dokumen dan rekaman tersebut pada menu TLHI (Tindak Lanjut Hasil Inspeksi) BALIS INFARA (https://balis-infara.bapeten.go.id) sebagai bukti tindak lanjut hasil inspeksi&lt;br&gt;</t>
  </si>
  <si>
    <t>Perbaikan dokumen dan rekaman:
 a.Program Proteksi dan Keselamatan:
 i. belum mencantumkan dasar hukum PP 28/2025, Perba 5/2025
 ii. masih menggunakan Perba 3/2021 dan Perba 1/2022, harus diganti dengan perba5/2025
 iii. daftar personil perlu dimutakhirkan agar sesuai dengan kondisi saat ini
 iv. data perlengkapan proteksi radiasi perlu dimutakhirkan agar sesuai dengan kondisi saat ini
 v. kaji ulang pembatas dosis
 b. SOP:
 i. SOP penyinaran pasien hamil perlu ditambahkan tentang penggunaan apron pada area janin
 ii. SOP Pendamping pasien belum sesuai dengan ketentuan pada Perba 4/2020 pasal 49
 c. Logbook Pasien belum dilengkapi dengan data berat badan</t>
  </si>
  <si>
    <t>Santosa Hospital Bandung Central Telah Melakukan Perbaikan Dokumen dan Rekaman:
 a.Program Proteksi dan Keselamatan:
 i. sudah mencantumkan dasar hukum PP 28/2025, Perba 5/2025
 iii. daftar personil sudah dimutakhirkan sesuai dengan kondisi saat ini
 iv. data perlengkapan proteksi radiasi sudah dimutakhirkan sesuai dengan kondisi saat ini
 v. kaji ulang pembatas dosis sudahdilakukan
 b. SOP:
 i. SOP penyinaran pasien hamil sudah ditambahkan tentang penggunaan apron pada area janin
 ii. SOP Pendamping pasien sudah di sesuaikan dengan ketentuan pada Perba 4/2020 pasal 49
 c. Logbook Pasien sudah dilengkapi dengan data berat badan by system</t>
  </si>
  <si>
    <t>Perbaikan dan penyusunan dokumen dan rekaman
 a. Prosedur serta rekaman bukti pelaksanaannya, untuk:
 - audit mutu (pengukuran), 
 - penilaian (reviu manajemen), 
 - kendali ketidaksesuaian dan tindakan perbaikan; 
 b. Rekaman pelaksanaan adjustment untuk QC belum dilakukan
 c. Perbaikan dokumen program proteksi
 - NPD pekerja 8 mSv/tahun (p. 48/71) belum berbasis data hasil evaluasi TLD. 
 d. Program Sistem Manajemen RT
 - Belum memuat Kendali Ketidaksesuaian dan Tindakan Perbaikan, serta prosedurnya.
 - Belum dilengkapi prosedur audit mutu (pengukuran) dan penilaian (reviu manajemen) dan bukti pelaksanaannya.
 e. Perbaikan nama dokumen dari “Kajian Keamanan Zat Radiasi Pengion” menjadi “Kajian Keamanan Zat Radioaktif”</t>
  </si>
  <si>
    <t>-Pelaku Usaha agar melakukan perbaikan dan penyusunan dokumen sesuai dengan rekomendasi inspektur.&lt;br /&gt;
 &lt;br /&gt;
 Untuk menutup temuan, unggah dokumen yang sudah diperbaiki tersebut melalui menu TLHI (Tindak Lanjut Hasil Inspeksi) di Sistem Balis Infara (https://balis-infara.bapeten.go.id) sebagai bukti tindak lanjut hasil inspeksi.&lt;br&gt;</t>
  </si>
  <si>
    <t>Perbaikan dokumen dan rekaman</t>
  </si>
  <si>
    <t>Perbaikan dan penyusunan dokumen dan rekaman
 a. Pembuatan prosedur repeat analysis per bulan, dan rekaman pelakasanaannya. Toleransi untuk penolakan dan pengulangan citra (repeat analysis) radiodiagnostik adalah maksimal kurang dari atau sama dengan 2% dari total seluruh pemeriksaan. Persyaratan ini belum dimasukkan ke dalam program proteksi radiasi.
 b. Prosedur serta rekaman bukti pelaksanaannya, untuk:
 - audit mutu (pengukuran), 
 - penilaian (reviu manajemen), 
 - kendali ketidaksesuaian dan tindakan perbaikan; 
 c. Perbaikan dokumen program proteksi
 - update peraturan;
 - update data SDM;
 - update data SRP;
 - update data peralatan keselamatan;
 - Nilai Pembatas Dosis (NPD) pekerja 7 mSv/tahun (p. 38/63) belum berbasis data hasil evaluasi TLD. Perlu perbaikan NPD untuk Dokter intervensional, nurse, dan radiografer Cathlab.
 d. Perbaikan pada logbook pasien pada pesawat Philips dengan nomor seri tabung 255202 belum dilengkapi nilai kV dan mA.</t>
  </si>
  <si>
    <t>-Pelaku Usaha agar melakukan perbaikan dan penyusunan dokumen dan rekaman sesuai dengan rekomendasi inspektur.&lt;br /&gt;
 &lt;br /&gt;
 Untuk menutup temuan, unggah dokumen dan rekaman yang sudah diperbaiki dan disusun melalui menu TLHI (Tindak Lanjut Hasil Inspeksi) di Sistem Balis Infara (https://balis-infara.bapeten.go.id) sebagai bukti tindak lanjut hasil inspeksi.&lt;br&gt;</t>
  </si>
  <si>
    <t>perbaikan dan penyusunan dokumen dan rekaman</t>
  </si>
  <si>
    <t>Perbaikan dan penyusunan dokumen program proteksi dan keselamatan radiasi
 - Dokumen PPKR belum sesuai Perka 4/2013;
 - Pembatas dosis pekerja belum sesuai riwayat pengoperasian;
 - Struktur organisasi belum memungkinkan PPR untuk melapor ke Dir RS, terutama untuk masalah urgen dan penting untuk keselamatan;
 - Tabel eksposi yang tertulis belum sesuai yang digunakan saat pelaksanaan;
 - Belum dilengkapi dengan persyaratan reject/repeat analysis.</t>
  </si>
  <si>
    <t>-Pelaku Usaha agar memperbaiki dan menyusun dokumen Program Proteksi dan Keselamatan Radiasi sesuai dengan Lampiran II Peraturan Kepala BAPETEN No. 4 Tahun 2013 tentang Proteksi Dan Keselamatan Radiasi dalam Pemanfaatan Tenaga Nuklir, dan melengkapi seluruh butir-butir di atas.&lt;br /&gt;
 &lt;br /&gt;
 Untuk menutup temuan, unggah dokumen dan rekaman yang sudah diperbaiki dan disusun melalui menu TLHI (Tindak Lanjut Hasil Inspeksi) di Sistem Balis Infara (https://balis-infara.bapeten.go.id) sebagai bukti tindak lanjut hasil inspeksi.&lt;br&gt;</t>
  </si>
  <si>
    <t>Perbaikan dan penyusunan dokumen program proteksi dan keselamatan radiasi
 - Dokumen PPKR belum sesuai Peraturan Kepala BAPETEN No. 4 Tahun 2013;
 - Pembatas dosis pekerja belum sesuai riwayat pengoperasian;
 - Struktur organisasi belum memungkinkan PPR untuk melapor ke Kepala Rumkit, terutama untuk masalah urgent dan penting untuk keselamatan;
 - Belum dilengkapi dengan persyaratan reject/repeat analysis.</t>
  </si>
  <si>
    <t>Penyusunan dokumen Program Proteksi dan Keselamatan Radiasi sesuai dengan Lampiran II Peraturan Kepala BAPETEN No. 4 Tahun 2013</t>
  </si>
  <si>
    <t>Perbaikan dan penyusunan Dokumen Program Proteksi dan Keselamatan Radiasi (PPKR):
 - Format dan isi dokumen PPKR belum sepenuhnya sesuai Perka 4/2013;
 - Pembatas dosis pekerja belum sesuai riwayat pengoperasian;
 - Belum dilengkapi dengan persyaratan reject/repeat analysis; 
 - Denah ruangan belum sesuai dengan keadaan sebenarnya.</t>
  </si>
  <si>
    <t>Dokumen Program Proteksi Radiasi update Mei 2026</t>
  </si>
  <si>
    <t>1. Dokumen Program Proteksi dan Keselamatan Radiasi
 - Format dan isi dokumen belum sesuai dengan Lampiran II Peraturan Kepala BAPETEN No. 4 Tahun 2013 tentang Proteksi Dan Keselamatan Radiasi dalam Pemanfaatan Tenaga Nuklir (Perka 4/2013).
 - Nilai Pembatas Dosis yang ditetapkan dalam Dokumen belum sesuai riwayat pengoperasian
 - Dokumen belum memasukkan Perka 4/2013 sebagai acuan.
 - Dokumen belum menetapkan persyaratan pelaksanaan reject/repeat analysis ini dengan kiteria maksimal 2% dari total seluruh pemeriksaan. 
 2. RS sudah melakukan dan mendokumentasikan reject/repeat analysis, namun pencatatan belum untuk masing-masing pesawat.</t>
  </si>
  <si>
    <t>-Pelaku Usaha agar:&lt;br /&gt;
  • Menyusun dokumen Program Proteksi dan Keselamatan Radiasi sesuai dengan Lampiran II Peraturan Kepala BAPETEN No. 4 Tahun 2013 tentang Proteksi dan Keselamatan Radiasi dalam Pemanfaatan Tenaga Nuklir, dan melengkapi seluruh butir-butir di atas.&lt;br /&gt;
  • Melakukan reject/repeat analysis per pesawat guna mengetahui riwayat pengoperasian setiap pesawat.&lt;br /&gt;
 &lt;br /&gt;
 Untuk menutup temuan, unggah dokumen dan rekaman yang sudah diperbaiki dan disusun melalui menu TLHI (Tindak Lanjut Hasil Inspeksi) di Sistem Balis Infara (https://balis-infara.bapeten.go.id) sebagai bukti tindak lanjut hasil inspeksi.&lt;br&gt;</t>
  </si>
  <si>
    <t>Sudah dilakukan perbaikan dokumen dan rekaman</t>
  </si>
  <si>
    <t>a. Layout ruangan berubah/ tidak sesuai dengan kondisi awal. Perlu perbaikan dokumen yang mencantumkan layout ruangan.
 b. Perbaikan dokumen program proteksi
 - layout ruangan tidak sesuai.
 - tabel eksposi tidak sesuai dengan yang digunakan di lapangan. 
 - nilai pembatas dosis belum sesuai riwayat penerimaan radiasi.
 c. Logbook pasien belum dilengkapi nilai kV dan mA.</t>
  </si>
  <si>
    <t>Perbaikan dan penyusunan dokumen dan rekaman
 a. Perbaikan dokumen program proteksi dan keselamatan radiasi
 - Format dan isi dokumen belum sesuai dengan Lampiran II Peraturan Kepala BAPETEN No. 4 Tahun 2013 tentang Proteksi Dan Keselamatan Radiasi dalam Pemanfaatan Tenaga Nuklir.
 - Struktur organisasi belum menempatkan PPR untuk memiliki akses melapor kepada Kepala RS.
 - Dokumen belum menetapkan Nilai Pembatas Dosis.
 - Dokumen belum menguraikan regulasi yang menjadi acuan.
 - Dokumen belum menetapkan dan melakukan analisis pengulangan citra (repeat analysis) radiodiagnostik dengan kiteria maksimal 2% dari total seluruh pemeriksaan.
 b. Perbaikan pada logbook pasien dengan melengkapi dengan nilai kV dan mA.</t>
  </si>
  <si>
    <t>-Pelaku Usaha agar:&lt;br /&gt;
  • Menyusun dokumen Program Proteksi dan Keselamatan Radiasi sesuai dengan Lampiran II Peraturan Kepala BAPETEN No. 4 Tahun 2013 tentang Proteksi dan Keselamatan Radiasi dalam Pemanfaatan Tenaga Nuklir, dan melengkapi seluruh butir-butir di atas.&lt;br /&gt;
  • Melakukan penulisan kV dan mA di logbook pasien.&lt;br /&gt;
 &lt;br /&gt;
 Untuk menutup temuan, unggah dokumen dan rekaman yang sudah diperbaiki dan disusun melalui menu TLHI (Tindak Lanjut Hasil Inspeksi) di Sistem Balis Infara (https://balis-infara.bapeten.go.id) sebagai bukti tindak lanjut hasil inspeksi.&lt;br&gt;</t>
  </si>
  <si>
    <t>pembaharuan logbook dengan menambahkan kV dan mAs</t>
  </si>
  <si>
    <t>• Perbaikan dokumen program proteksi terkait
  - Data personil sesuaikan dengan yang tercantum dizin berjumlah 25 pekerja
  - Alat perlengkapan proteksi 
 • Perbaikan SOP pendamping pasien</t>
  </si>
  <si>
    <t>Perbaikan SPO pendamping pasien : SPO-MED-RAD-A/25 hal 3 point III no 1 (sudah di tambahkan di SPO untuk pendamping pasien adalah anggota keluarga yang mendampingi harus berusia minimal 18 tahun, dan jika wanita pastikan sedang tidak hamil)Perbaikan dokumen program proteksi
 - Jumlah Data personil sudah disesuaikan berjumlah 25 pekerja. 
 - Jumlah alat perlengkapan proteksi sudah disesuaikan (alat dalam kondisi rusak tidak dicantumkan)</t>
  </si>
  <si>
    <t>Perbaikan dokumen program proteksi radiasi terkait:
 - Pergantian direktur RS atas nama Chairu Ummatin R
 - Perbaikan struktur organisasi (sudah berganti personil)
 - Perbaikan data personil
 - Tugas dan tanggung jawab fisikawan medik belum ada
 - Bagian data SRP belum diisi No izin pemanfaatan
 - Tabel alat perlengkapan proteksi radiasi
 - Kaji ulang nilai pembatas dosis</t>
  </si>
  <si>
    <t>Daftar InventarisLogbook PerawatanDokumen PPR</t>
  </si>
  <si>
    <t>1. Perbaikan Instruksi kerja pendamping pasien, tambahkan umur yang diperboleh kan dan jika pendamping pasien adalah Wanita ditambahkan keterangan tidak diperbolehkan dalam kondisi hamil
 2. Perbaikan dokumen program proteksi terkait:
  - Data personil atas nama Muhammad Azis Arifudin sudah tidak bekerja dan belum 
  memasukan pekerja baru atas nama Esa Fadhlika
  - Kaji ulang pembatas dosis</t>
  </si>
  <si>
    <t>-Pelaku usaha agar melakukan Perbaikan Instruksi kerja dan Dokumen program proteksi sesuai rekomendasi. Untuk menutup temuan unggah dokumen yang telah diperbaiki melalui menu TLHI (Tindak Lanjut Hasil Inspeksi) di Sistem Balis Infara (https://balis-infara.bapeten.go.id) sebagai bukti tindak lanjut hasil inspeksi. &lt;br&gt;</t>
  </si>
  <si>
    <t>Kepada Yth.
 Kepala Direktur Inspeksi Fasilitas Radiasi dan Zat Radioaktif 
 BAPETEN 
 Dengan hormat,
 Terlebih dahulu kami ucapkan terimakasih atas inspeksi yang dilaksanakan tanggal 9 Juni 2026.
 Bersama ini kami sampaikan perbaikan (Tindak Lanjut) atas temuan yang disampaikan :
 1. Instruksi Kerja Pendamping Pasien telah kami lengkapi dengan data umur yang diperbolehkan dan jika pendamping pasien adalah wanita telah kami tambahkan keterangan tidak hamil (tidak diperbolehkan dalam kondisi hamil) 
 2. Perbaikan /revisi Dokumen Program Proteksi terkait data personil atas nama Muhammad Azis Arifudin telah kami revisi dengan personil pengganti atas nama Esa Fadhlika serta nilai pembatas dosis telah kami revisi sesuai rekomendasi , ketenutan dan hasil rata rata pembacaan dosis.
 Demikian kami sampaikan. Terimakasih 
 Hormat kami
 PT. MItra Usaha Katiga (Primera Clinica)</t>
  </si>
  <si>
    <t>Perbaikan dokumen program proteksi radiasi:
 • Terkait pekerja radiasi, pekerja radiasi sudah tidak bekerja atas nama Dr. Biddulth Sujana, Sp. Rad, Syafitri Nadya, Amd.Rad dan memasukan pekerja radiasi atas nama Maiwa Putri Apinka Limsha, Dimas Pratama dan dr. Ira Ariyati, Sp. Rad
 • Belum dibuat bagan struktur organisasi
 • Terkait Deskripsi Pesawat Sinar -X dan Peralatan Penunjang, data No izin
 • Kaji ulang nilai Pembatas Dosis untuk Pekerja Radiasi, sebesar 6 mSv/tahun</t>
  </si>
  <si>
    <t>Perbaikan dokumen program proteksi radiasi sudah dilakukan :
 • Terkait pekerja radiasi, pekerja radiasi sudah tidak bekerja atas nama Dr. Biddulth Sujana, Sp. Rad, Syafitri Nadya, Amd.Rad dan sudah dimasukkan sesuai data yang sekarang yang masih aktif yaitu atas nama Maiwa Putri Apinka Limsha, Dimas Pratama dan dr. Ira Ariyati, Sp. Rad
 • Sudah dibuat bagan struktur organisasi
 • Terkait Deskripsi Pesawat Sinar -X dan Peralatan Penunjang, data No izin sudah disesuaikan
 • Sudah dilakukan Pengkajian ulang nilai Pembatas Dosis untuk Pekerja Radiasi, dari 6 mSv/tahun menjadi 1 mSv/tahun</t>
  </si>
  <si>
    <t>Perlu perbaikan dokumen :
 1. Program proteksi dan keselamatan radiasi terkait:
 - Data peralatan keselamatan
 - Kaji ulang pembatas dosis 
 2. Logbook catatan pasien</t>
  </si>
  <si>
    <t>Program Proteksi &amp; Log Book Pasien</t>
  </si>
  <si>
    <t>Perlu perbaikan Program Proteksi Keselamatan Radiasi
 1. Uraian Peraturan Pada Subbab Latar belakang
 2. Penentuan Nilai Pembatas Dosis Personil</t>
  </si>
  <si>
    <t>-Pelaku Usaha agar melakukan perbaikan Program Proteksi Keselamatan Radiasi.&lt;br /&gt;
 &lt;br /&gt;
 Untuk menutup temuan, unggah bukti hasil perbaikan Program Proteksi Keselamatan Radiasi melalui menu TLHI (Tindak Lanjut Hasil Inspeksi) di Sistem Balis Infara (https://balis-infara.bapeten.go.id) sebagai bukti tindak lanjut hasil inspeksi.&lt;br&gt;</t>
  </si>
  <si>
    <t>PP no 29 tahun 2009 sudah dihilangkan dan diganti dengan PP no 28 tahun 2025 (Halaman 5)
 NPD ditentukan 6 mSv per tahun untuk pakerja radiasi ( Halaman 33)</t>
  </si>
  <si>
    <t>Program Proteksi Keselamatan Radiasi perlu diperbaiki:
 a. Judul dokumen diperbaiki menjadi "Program Proteksi dan Keselamatan Radiasi"
 b. Perlu ditambahkan Subjudul Referensi pada Bab 1 dan mencantumkan referensi antara lain:
  - PP 45/2023 tentang Keselamatan Radiasi Pengion dan Keamanan Zat Radioaktif
  - Peraturan Bapeten No. 4/2013 tentang Proteksi dan Keselamatan Radiasi
 c. Memperbaiki Nilai Pembatas Dosis (NPD) disesuaikan dengan data penerimaan dosis pekerja selamat 5 tahun terakhir</t>
  </si>
  <si>
    <t>A. Judul dokumen Telah diperbaiki menjadi "Program Proteksi dan Keselamatan Radiasi"
 B. Telah ditambahkan Subjudul SebagaiReferensi pada Bab 1 dan mencantumkan referensi antara lain:
 - PP 45/2023 tentang Keselamatan Radiasi Pengion dan Keamanan Zat Radioaktif
 - Peraturan Bapeten No. 4/2013 tentang Proteksi dan Keselamatan Radiasi
 C. Telah Memperbaiki Nilai Pembatas Dosis (NPD) disesuaikan dengan data penerimaan dosis pekerja selamat 5 tahun terakhir</t>
  </si>
  <si>
    <t>Perlu perbaikan Program Proteksi dan Keselamatan Radiasi:
 a. Uraian Peraturan Pada Subbab Latar belakang
 b. Penentuan Nilai Pembatas Dosis (NPD) sesuai dengan data penerimaan dosis pekerja selama 5 tahun terakhir</t>
  </si>
  <si>
    <t>-Pelaku Usaha agar melakukan perbaikan Dokumen Program Proteksi dan Keselamatan Radiasi.&lt;br /&gt;
 &lt;br /&gt;
 Untuk menutup temuan, unggah bukti perbaikan Dokumen Program Proteksi dan Keselamatan Radiasi melalui menu TLHI (Tindak Lanjut Hasil Inspeksi) di Sistem Balis Infara (https://balis-infara.bapeten.go.id) sebagai bukti tindak lanjut hasil inspeksi.&lt;br&gt;</t>
  </si>
  <si>
    <t>Revisi ke-12 dari Program Proteksi dan Keselamatan Radiasi PT. HDSI (Dokumen No. MAN-IND-HSE-RAD-SD-002-IDP) mencakup perubahan referensi dokumen serta penentuan dan penerapan Pembatas Dosis dalam bagian Asas Optimisasi.</t>
  </si>
  <si>
    <t>Program Proteksi Radiasi perlu direvisi dengan:
 a. Menyesuaikan dengan Perba 4/2013 tentang Proteksi dan Keselamatan Radiasi
 b. mengupdate jumlah Pekerja Radiasi 
 c. mengupdate jumlah fasilitas radiasi yang ada</t>
  </si>
  <si>
    <t>Telah dilakukan revisi program proteksi radiasiTelah dilakukan refresh training pada Agustus 2026</t>
  </si>
  <si>
    <t>Program Proteksi Radiasi:
 a. Format Program Proteksi Radiasi tidak sesuai dengan Perba 4/2013 tentang Proteksi dan Keselamatan Radiasi.
 b. Nilai Pembatas Dosis (NPD) untuk Pekerja Radiasi masih menggunakan angka 6 mSv/tahun, tidak berdasarkan data penerimaan dosis.
 c. Sdr. Ahmad Sya’bani sudah keluar tahun 2025 masih tercantum, sementara Sdr. Dafa Ardi yang masuk Mei 2025 belum dimasukkan dalam Program Proteksi Radiasi.</t>
  </si>
  <si>
    <t>Format Program Proteksi Radiasi sudah sesuai dengan Perba 4/2013 tentang Proteksi dan Keselamatan Radiasi. 
 Sdr. Dava Ardy Pratama sudah dimasukkan dalam Program Proteksi Radiasi. 
 dan sebagai acuan sudah mengacu pada undang-undang terbaru</t>
  </si>
  <si>
    <t>Belum mencatat dengan lengkap pada logbook inventaris kamera radiografi dalam bunker untuk informasi SRP yang diterima bersama dengan kamera radiografi</t>
  </si>
  <si>
    <t>Pencatatan Daftar Inventaris Camera Gamma di Bunker PT Gamma Ray Indonesia</t>
  </si>
  <si>
    <t>a. Format Program Proteksi tidak sesuai dengan Perka 4/2013 tentang proteksi dan Keselamatan Radiasi
 b. Nilai Pembatas Dosis (NPD) yang tercantum dalam Program Proteksi Radiasi adalah 18 mSv/tahun. Nilai ini perlu ditinjau kembali berdasarkan data terimaan dosis tahunan pekerja radiasi.
 c. Perlu perbaikan formulir pengukuran paparan radiasi: yaitu dengan menambahkan identitas alat ukur dan hasil pengukuran paparan radiasi latar</t>
  </si>
  <si>
    <t>Tinjau Format Program Proteksi, perhitungan nilai pembatas dosis, dan pengukuran paparan radiasi</t>
  </si>
  <si>
    <t>Dokumen Program Proteksi dan Keselamatan Radiasi
 1. Peraturan ketenaganukliran terbaru belum diacu.
 2. Masih mencantumkan PTKMR-BATAN sebagai lab pembaca dosis dan lab kalibrasi surveymeter
 3. Dose constrain belum ditetapkan oleh instansi</t>
  </si>
  <si>
    <t>-Pelaku Usaha agar memperbarui dokumen Program Proteksi dan Keselamatan Radiasi sesuai dengan masukan dari Tim Inspeksi.&lt;br /&gt;
 &lt;br /&gt;
 Untuk menutup temuan, unggah dokumen Program Proteksi dan Keselamatan Radiasi yang telah diperbarui melalui menu TLHI (Tindak Lanjut Hasil Inspeksi) di Sistem Balis Infara (https://balis-infara.bapeten.go.id) sebagai bukti tindak lanjut hasil inspeksi.&lt;br /&gt;
 &lt;br&gt;</t>
  </si>
  <si>
    <t>Kami sudah mengupdate dokumen proteksi radiasi per tanggal 11 Juni 2026</t>
  </si>
  <si>
    <t>Dokumen Program Proteksi dan Keselamatan Radiasi
 1. Peraturan ketenaganukliran terbaru belum diacu
 2. Data SRP belum disesuaikan dengan data SRP terbaru
 3. Perhitungan dose constrain belum dimasukkan dalam Program Proteksi dan Keselamatan Radiasi</t>
  </si>
  <si>
    <t>Dokumen Program Proteksi dan Keselamatan Radiasi sudah direvisi berdasarkan:
 1. Peraturan ketenaganukliran terbaru
 2. Data SRP disesuaikan dengan data SRP terbaru
 3. Perhitungan dose constrain sudah dimasukkan dalam Program Proteksi dan Keselamatan Radiasi</t>
  </si>
  <si>
    <t>Program Proteksi dan Keselamatan Radiasi
 1. Peraturan ketenaganukliran terbaru belum diacu
 2. Penggunaan nomenklatur gauging diganti menjadi uji tak rusak terpasang tetap
 3. Dose constrain belum ditetapkan</t>
  </si>
  <si>
    <t>Mengupdate program Proteksi dan Keselamatan Radiasi mencakup :
 1. Peraturan ketenaganukliran terbaru belum diacu
 2. Penggunaan nomenklatur gauging diganti menjadi uji tak rusak terpasang tetap
 3. Dose constrain belum ditetapkanDokumen Program Proteksi dan Keselamatan Radiasi perlu perbaikan:
 1. Lembar pengesahan agar ditandatangani
 2. Menetapkan Pembatas dosis (Dose constrain) untuk pekerja radiasi dan Masyarakat umuProgram Proteksi dan Keselamatan Radiasi
 1. Peraturan ketenaganukliran terbaru belum diacu : Saya sudah menambahkan peraturan berikut apakah masih ada yang kurang?
 a. PP Nomor 28 Tahun 2025: Mengatur tentang Penyelenggaraan Perizinan Berusaha Berbasis Risiko, termasuk yang mencakup sektor ketenaganukliran.
 b. PP No. 45 Tahun 2023 tentang Keselamatan Radiasi Pengion dan Keamanan Sumber Radioaktif, Pengganti PP 33/2007 – mengatur proteksi radiasi, batas dosis, tinjauan radiologik, dll
 c. PP No. 46 Tahun 2023 tentang Perizinan Pemanfaatan Tenaga Nuklir - pengganti PP 29/2008 tentang perizinan sumber radiasi pengion dan bahan nuklir
 2. Penggunaan nomenklatur gauging diganti menjadi uji tak rusak terpasang tetap, saya sudah mengganti seluruh kata gauging, jika disearch masih ada gauging 2 words itu hanya tercantum di historical revision, pada halaman 29, tapi keselurhan sudah tidak menggunakan gaugin dan sudah diganti menjadi uji tak rusak terpasang tetap
 3. Dose constrain belum d</t>
  </si>
  <si>
    <t>Dokumen Program Proteksi dan Keselamatan Radiasi terdapat ketidaksesuaian
 1. Peraturan ketenaganukliran terbaru belum diacu 
 2. Data SDM dan data SRP terbaru belum disesuaikan
 3. Penentuan nilai Dose Constrain belum dijelaskan
 4. Terdapat pembahasan terkait kontaminasi dan daerah pengendalian untuk Tenorm yang tidak diberkaitan dengan penggunaan peralatan sinar-x</t>
  </si>
  <si>
    <t>Dokumen Program Proteksi dan Keselamatan Radiasi belum disesuaikan dengan peraturan terbaru.
 Dose constrain belum ada</t>
  </si>
  <si>
    <t>SOP Prosedur X-Ray</t>
  </si>
  <si>
    <t>Perlu perbaikan/pembaruan dokumen:
 1. Program Proteksi dan Keselamatan Radiasi (No. Dok. 01/PPKR/RSUD/IV/2026 rev 1 disahkan tanggal 07 April 2026) perlu perbaikan:
 a) Definisi, disesuaikan pada PP No. 45 Таhun 2023, antara lain: definisi Proteksi
 dan Keselamatan Radiasi, Petugas Proteksi Radiasi, dan Pekerja Radiasi.
 d) Bab II. 1. Tanggung jawab Pemegang Izin, tenaga medis, tenaga kesehatan (fisikawan medik), Petugas Proteksi Radiasi mengacu pada Peraturan BAPETEN (Perbapeten) No. 4 Tahun 2020.
 e) Bab III.1. Deskripsi kondisi pesawat sinar-X dilengkapi sesuai dengan kondisi terkini
 f) Bab III.2. Deskripsi Pembagian Daerah Kerja, batasan daerah pengendalian dan daerah supervisi diperbaiki dengan mengacu pada Pasal 28 dan Pasal 29 Perka BAPETEN No. 4 Tahun 2013
 - berdasarkan Perka Bapeten No. 4 Tahun 2013, ketentuan NBD pekerja radiasi dilengkapi dan NBD masyarakat diperbaiki menjadi 1 mSv/tahun nilai pembatas dosis untuk pekerja radiasi yang ditetapkan oleh pemegang izin diberlakukan untuk semua modalitas di instalasi radiologi
 g) Bab IV.1.2 PP No. 33 Tahun 2007 diganti dengan PP No. 45 Tahun 2023
 h) Bab III.4. pembaruan peralatan proteksi radiasi (jumlah TLD badge 42 buah)
 Bab IV.1.4 ditambahkan pembatas dosis untuk pendamping pasien; 5 mSv untuk setiap periode penyinaran
 2. Inventarisasi pesawat sinar-X, dilengkapi dengan data No. KTUN izin dan masa berlaku, tipe unit, nomor seri unit, data merek tabung, tipe tabung, nomor seri tabung, kondisi maksimum pesawat, data nomor sertifikat uji kesesuaian dan masa berlaku, serta kondisi pesawat.
 3. Rekaman: logbook operasi perlu ditambahkan data berat badan pasien, dan catatan jika terjadi pengulangan penyinaran.</t>
  </si>
  <si>
    <t>Perbaikan Dokumen Program Proteksi Dan Keselamatan Radiasi RSUD Kota Cilegon 2026Dokumen SPO Proteksi Radiasi untuk Pasien Anak-Anak</t>
  </si>
  <si>
    <t>Perlu Perbaikan/ Pembaruan Dokumen:
 1. Program proteksi dan keselamatan radiasi (No. Dokumen WI-QC-10 rev 2 tanggal 4 Februari 2028) 
 a) Bab 1 Dasar Hukum: 
 - Peraturan yang tidak terkait dengan pembangkit radiasi pengion (PRP) dihilangkan, yaitu:
 - Peraturan Pemerintah (PP) No. 58 Tahun 2015 tentang Keselamatan Radiasi dan Keamanan Pengangkutan Zat Radioaktif 
 - PP No. 04 Tahun 2014 
 - Perka BAPETEN No. 6 Tahun 2009 diganti dengan Peraturan BAPETEN (Perba) No. 2 Tahun 2025 tentang Keselamatan Radiasi Dalam Penggunaan Sumber Radiasi Pengion Untuk Peralatan Pengukuran (Gauging);
 - dan ditambahkan:
 - PP No. 45 Tahun 2023 Tentang Keselamatan Radiasi Pengion dan Keamanan Zat Radioaktif;
 - PP No. 28 Tahun 2025 Tentang Penyelenggaraan Perizinan Berusaha Berbasis Risiko.
 - Peraturan BAPETEN No. 5 Tahun 2025 tentang Standar Kegiatan Usaha Dan Standar Produk Pada Penyelenggaraan Perizinan Berusaha Berbasis Risiko Sektor Ketenaganukliran.
 b) Ruang Lingkup, ditambahkan untuk tujuan pemanfaatan analisa
 c) Definisi diperbaiki, dengan mengacu pada PP No. 45 Tahun 2023 dan Perka/Perba terkait. Selanjutnya definisi yang tidak terkait denagn penggunaan PRP dihilangkan, seperti: 
 Keamanan sumber radioaktif, AR, OR, Peralatan radiografi industry, dll
 d) Bab II.2. Tanggung jawab Pemegang Izin diperbaiki dengan mengacu pada PP No. 45 Tahun 2023 Pasal 114, selanjutnya tanggung jawab PPR, petugas perawatan, operator mengacu pada Perba No. 2 Tahun 2025
 e) Bab III.1. Diskripsi Fasilitas, dijelaskan penempatan/lay out XRF di laboratorium proses kontrol (dilengkapi dengan gambar), dengan sistem keselamatan pada alat dengan akses terbatas. 
 f) Bab III.2. Deskripsi Pembagian Daerah kerja, dilengkapi dengan mengacu pada Perba No. 2 Tahun 2025
 g) Bab III.3. Deskripsi Peralatan, dilengkapi dengan spesifikasi pesawat
 sinar-X, dilengkapi dengan data tipe dan no. seri tabung untuk setiap pesawat sinar-X. 
 h) Bab IV.1.2 Prosedur pengangkutan pesawat zat radioaktif dihilangkan
 i) Bab IV.1.4 Prosedur Penggantian SRP dihilangkan
 j) Bab IV.1.7. Prosedur Pengelolaan Limbah Radiasi dihilangkan.
 k) Bab IV.2. Prosedur Rencana Penanggulangan Keadaan Darurat, tentang keadaan darurat mengenai zat radioaktif dihilangkan.
 Selanjutnya dokumen Program proteksi dan keselamatan radiasi disusun kembali dengan mengacu sistematika pada Lampiran II Perba No. 2 Tahun 2025 
 2. Prosedur Operasi XRF, persiapan operasi, ditambahkan surveymeter dalam kondisi on 
 3. Inventarisasi sumber radiasi pengion (SRP), ditambahkan dengan: data merk, tipe dan No. Seri unit; merk, tipe, dan No. Seri tabung 
 4. Format logbook perawatan dan perbaikan pesawat sinar-X ditambahkan dengan: bagian peralatan yang memerlukan perawatan dan perbaikan, data nama petugas pabrikan (pihak eksternal/supplier), nama personel fasilitas)
 5. Format logbook pengukuran paparan radiasi di lokasi pemanfaatan ditambahkan dengan, keterangan:
 - Nilai laju dosis latar 
 - Surveymeter yang digunakan beserta masa berlaku sertifikat kalibrasinya, 
 - Titik pengukuran paparan radiasi pada permukaan alat, jarak 1 meter dari permukaan alat dan posisi operator berada.</t>
  </si>
  <si>
    <t>-Pelaku Usaha agar melakukan perbaikan Dokumen Program Proteksi dan Keselamatan Radiasi, Prosedur Operasi, Inventarisasi SRP, logbook perawatan dan perbaikan pesawat sinar-X, logbook pengukuran paparan radiasi &lt;br /&gt;
 &lt;br /&gt;
 Untuk menutup temuan, unggah bukti dokumen-dokumen perbaikan tersebut di atas melalui menu TLHI (Tindak Lanjut Hasil Inspeksi) di Sistem Balis Infara (https://balis-infara.bapeten.go.id) sebagai bukti tindak lanjut hasil inspeksi&lt;br&gt;</t>
  </si>
  <si>
    <t>1. Revisi Dokumen Program Proteksi dan Keselamatan Radiasi2. Revisi Prodesur Operasi, Pada bagian Keselamatan Kerja ditambahkan Survey Meter dalam kondisi On3. Revisi Inventarisasi SRP, ditambahkan dengan: data merk, tipe dan No.
 Seri unit; merk, tipe, dan No. Seri tabung4. Revisi Log Book Perawatan dan Perbaikan XRF5. Log Book Pengukuran paparan Radiasi</t>
  </si>
  <si>
    <t>Perlu Perbaikan Dokumen: 
 1. Program proteksi dan keselamatan radiasi (revisi 5 disahkan tanggal 15 Januari 2026): 
 a) Bab 1 Dasar Hukum: 
 - Peraturan Pemerintah (PP) No. 33 Tahun 2007 diganti dengan Peraturan Pemerintah No. 45 Tahun 2023 Tentang Keselamatan Radiasi Pengion dan Keamanan Zat Radioaktif; - Perka BAPETEN No. 04/KaBAPETEN/V-99 diganti dengan Peraturan BAPETEN (Perba) No. 7 Tahun 2020 tentang Ketentuan Keselamatan Dan Tata Laksana Pengangkutan Zat Radioaktif 
 - Keputusan Kepala BAPETEN No. 05P/KaBAPETEN/VII/00 tentang Pedoman Persyaratan untuk keselamatan pengangkutan zat radioaktif dihilangkan, karena sudah tidak berlaku 
 - Perka BAPETEN No. 16 Tahun 2014 diganti dengan Peraturan BAPETEN (Perba) No. 4 Tahun 2024 tentang Izin Bekerja Petugas Pada Fasilitas Radiasi Dan/Atau Kegiatan Pemanfaatan Sumber Radiasi Pengion, 
 - Peraturan BAPETEN No. 3 Tahun 2021 diganti dengan Peraturan BAPETEN No. 5 Tahun 2025 tentang Standar Kegiatan Usaha Dan Standar Produk Pada Penyelenggaraan Perizinan Berusaha Berbasis Risiko Sektor Ketenaganukliran 
 - PP No. 5 Tahun 2021 diganti dengan PP No. 28 Tahun 2025 Tentang Penyelenggaraan Perizinan Berusaha Berbasis Risiko. 
 b) Ruang Lingkup, disesuaikan dengan setiap tujuan pemanfaatan sumber radiasi pengion 
 c) Definisi diperbaiki, dengan mengacu pada PP No. 45 Tahun 2023 dan Perka/Perba terkait 
 d) Bab II.2. Tanggung jawab Pemegang Izin diperbaiki dengan mengacu pada PP No. 45 Tahun 2023 Pasal 114 
 2. Logbook penggunaan zat radioaktif belum dibuat per kamera dengan mencantumkan data zat radioaktif (tipe, no.seri, aktivitas pada tanggal tertentu) untuk memudahkan pemantauan.
 Program Keamanan Zat Radioaktif 
 - Bab 1 Dasar Hukum, diperbaiki: 
 - Peraturan Pemerintah (PP) No. 33 Tahun 2007 diganti dengan Peraturan Pemerintah No. 45 Tahun 2023 Tentang Keselamatan Radiasi Pengion dan Keamanan Zat Radioaktif; 
 - PP No. 5 Tahun 2021 diganti dengan PP No. 28 Tahun 2025 Tentang Penyelenggaraan Perizinan Berusaha Berbasis Risiko; 
 - Peraturan BAPETEN No. 3 Tahun 2021 diganti dengan Peraturan BAPETEN No. 5 Tahun 2025 tentang Standar Kegiatan Usaha Dan Standar Produk Pada Penyelenggaraan Perizinan Berusaha Berbasis Risiko Sektor Ketenaganukliran 
 - Peraturan BAPETEN No. 1 Tahun 2022 dihilangkan 
 - Perka BAPETEN No. 04/KaBAPETEN/V-99 diganti dengan Peraturan BAPETEN (Perba) No. 7 Tahun 2020 tentang Ketentuan Keselamatan Dan Tata Laksana Pengangkutan Zat Radioaktif 
 - Keputusan Kepala BAPETEN No. 05P/KaBAPETEN/VII/00 tentang Pedoman Persyaratan untuk keselamatan pengangkutan zat radioaktif dihilangkan, karena sudah tidak berlaku 
 - Terminologi Keamanan Sumber Radioaktif diganti dengan Keamanan Zat Radioaktif</t>
  </si>
  <si>
    <t>-Pelaku Usaha melakukan perbaikan/pembaruan dokumen:&lt;br /&gt;
 1. Program Proteksi dan Keselamatan Radiasi &lt;br /&gt;
 2. Logbook penggunaan zat radioaktif&lt;br /&gt;
 3. Program Keamanan Zat Radioaktif&lt;br /&gt;
 &lt;br /&gt;
 Untuk menutup temuan, unggah bukti dokumen-dokumen perbaikan tersebut di atas melalui menu TLHI (Tindak Lanjut Hasil Inspeksi) di Sistem Balis Infara (https://balis-infara.bapeten.go.id) sebagai bukti tindak lanjut hasil inspeksi&lt;br&gt;</t>
  </si>
  <si>
    <t>Telah melakukan pembaharuan Dokumen Proteksi dan Keselamatan Radiasi berdasarkan rekomendasi hasil temuan inspeksiTelah dilakukan revisi Logbook penggunaan zat radioaktif dibuat per kamera dengan mencantumkan data zat radioaktif (tipe, no.seri, aktivitas pada tanggal tertentu) untuk memudahkan pemantauan sesuai dengan rekomendasi temuan hasil inspeksiTelah melakukan pembaharuan Dokumen Program Keamanan Zat Radioaktif berdasarkan rekomendasi hasil temuan inspeksi</t>
  </si>
  <si>
    <t>1. Program Proteksi Dan Keselamatan Radiasi (SOP – TLA – PPR - 005 rev.No. 07 disahkan tanggal 16 Juli 2025): 
 a) Bab 1.4 Judul Referensi diganti dengan Dasar Hukum: 
 - Perka BAPETEN No. 04/KaBAPETEN/V-99 diganti dengan Peraturan BAPETEN (Perba) No. 7 Tahun 2020 tentang Ketentuan Keselamatan Dan Tata Laksana Pengangkutan Zat Radioaktif 
 - Keputusan Kepala BAPETEN No. 05-P/KaBAPETEN/VII/00 tentang Pedoman Persyaratan untuk keselamatan pengangkutan zat ra-dioaktif dihilangkan, karena sudah tidak berlaku
 - Perka BAPETEN No. 16 Tahun 2014 diganti dengan Peraturan BAPETEN (Perba) No. 4 Tahun 2024 tentang Izin Bekerja Petugas Pada Fasilitas Radiasi Dan/Atau Kegiatan Pemanfaatan Sumber Radiasi Pengion
 Ditambahkan:
 - PP No. 28 Tahun 2025 Tentang Penyelenggaraan Perizinan Be-rusaha Berbasis Risiko 
 - Peraturan BAPETEN No. 5 Tahun 2025 tentang Standar Kegiatan Usaha Dan Standar Produk Pada Penyelenggaraan Perizinan Be-rusaha Berbasis Risiko Sektor Ketenaganukliran
 b) Definisi diperbaiki, dengan mengacu pada PP No. 45 Tahun 2023 dan Perka/Perba terkait
 c) Bab 2.2.2. Tanggung jawab Pemegang Izin diperbaiki dengan mengacu pada PP No. 45 Tahun 2023 Pasal 114
 d) Bab 2.3. Tanggung jawab dan kewajiban PPR, radiografer tingkat 2, radiografer tingkat 1, asisten radio-grafer mengacu pada Perba No. 8 Ta-hun 2014
 e) Bab 3.5. Data personel diperbaiki disesuaikan dengan kondisi terkini
 f) Tabel 3. 2. Mapping Pekerja Radiasi, disesuaikan dengan kondisi terkini
 g) Bab V. ditambahkan jumlah per-lengkapan radiasi (dalam bentuk Tabel)
 h) Ditambahkan nilai pembatas dosis
 2. Program Keamanan Zat Radioaktif (SOP-TLA-PPR-006 rev 05)
 - Bab 1 Dasar Hukum, diperbaiki:
 - PP No. 5 Tahun 2021 diganti dengan PP No. 28 Tahun 2025 Tentang Penye-lenggaraan Perizinan Berusaha Ber-basis Risiko;
 - Peraturan BAPETEN No. 3 Tahun 2021 dan Peraturan BAPETEN No. 1 Tahun 2022 diganti dengan Peraturan BAPETEN No. 5 Tahun 2025 tentang Standar Kegiatan Usaha Dan Standar Produk Pada Penyelenggaraan Perizi-nan Berusaha Berbasis Risiko Sektor Ketenaganukliran
 - Keputusan Kepala BAPETEN No. 05-P/KaBAPETEN/VII/00 tentang Pedoman Persyaratan untuk kesela-matan pengangkutan zat radioaktif dihilangkan, karena sudah tidak ber-laku
 - Selanjutnya Peraturan yang dicantumkan hanya yang terkait dengan Keamanan Zat Radioaktif.</t>
  </si>
  <si>
    <t>Perlu Perbaikan Dokumen:
 1. Program proteksi dan keselamatan radiasi (Doc No : SP-HSSE-PPR-01) perlu perbaikan:: 
 a) Bab 1 Dasar Hukum: 
 - Peraturan Pemerintah (PP) No. 33 Tahun 2007 diganti dengan Peraturan Pemerintah No. 45 Tahun 2023 Tentang Keselamatan Radiasi Pengion dan Keamanan Zat Radioaktif (sebagai pengganti PP No. 33 Tahun 2007);
 - Perka BAPETEN No. 6 Tahun 2009 diganti dengan Peraturan BAPETEN (Perba) No. 2 Tahun 2025 tentang Keselamatan Radiasi Dalam Penggunaan Sumber Radiasi Pengion Untuk Peralatan Pengukuran (Gauging);
 - Peraturan BAPETEN No. 3 Tahun 2021 diganti dengan Peraturan BAPETEN No. 5 Tahun 2025 tentang Standar Kegiatan Usaha Dan Standar Produk Pada Penyelenggaraan Perizinan Berusaha Berbasis Risiko Sektor Ketenaganukliran:
 - PP No. 5 Tahun 2021 diganti dengan PP No. 28 Tahun 2025 Tentang Penyelenggaraan Perizinan Berusaha Berbasis Risiko. 
 b) Bab 1.3 Dasar Hukum 
 - Keputusan Kepala BAPETEN No. 05- P/KaBAPETEN/VII/00 tentang Pedoman Persyaratan untuk keselamatan pengangkutan zat radioaktif dihilangkan, karena sudah tidak berlaku 
 - Perka ВАРЕTEN No. 16 Tahun 2014 diganti dengan Peraturan BAPETEN (Perba) No. 4 Tahun 2024 tentang Izin Bekerja Petugas Pada Fasilitas Radiasi Dan/Atau Kegiatan Kegiatan Pemanfaatan Sumber Radiasi Pengion
 c) Definisi diperbaiki, dengan mengacu pada PP No. 45 Tahun 2023 dan Perka/Perba terkait
 d) Bab II.2. Tanggung jawab Pemegang Izin diperbaiki dengan mengacu pada PP No. 45 Tahun 2023 Pasal 114, selanjutnya tanggung jawab PPR, petugas perawatan, operator mengacu pada Perba No. 2 Tahun 2025
 Ditambahkan pada Lampiran inventarisasi sumber radioaktif yang dilengkapi dengan layout/keberadaan sumber radioaktif di setiap lokasi vessel.
 Selanjutnya dokumen Program proteksi dan keselamatan radiasi disusun kembali dengan mengacu sistematika pada Lampiran II Perba No. 2 Tahun 2025:
 2) Program Keamanan Zat Radioaktif (Doc No: SP-HSSE-PKZR-01) perlu perbaikan:
  a) Bab 1.1 Latar Belakang 
 - Peraturan Pemerintah(PP) No. 33 Tahun 2007 diganti dengan Peraturan Pemerintah No. 45 Tahun 2023 Tentang Keselamatan Radiasi Pengion dan Keamanan Zat Radioaktif;
  - Perka BAPETEN No. 6 Tahun 2015 diganti dengan Perba No. 5 Tahun 2024 tentang Keamanan Zat Radioaktif
 Selanjutnya Peraturan yang dicantumkan dalam Program Keamanan Zat Radioaktif yang terkait dengan keamanan zat radioaktif</t>
  </si>
  <si>
    <t>-Pelaku Usaha agar melakukan perbaikan Dokumen Program Proteksi dan Keselamatan Radiasi dan Program Keamanan Zat Radioaktif &lt;br /&gt;
 Untuk menutup temuan, unggah bukti dokumen-dokumen perbaikan tersebut di atas melalui menu TLHI (Tindak Lanjut Hasil Inspeksi) di Sistem Balis Infara (https://balisinfara.bapeten.go.id) sebagai bukti tindak lanjut hasil inspeksi.&lt;br&gt;</t>
  </si>
  <si>
    <t>Untuk SP-HSSE-PKZR-01 dan SP-HSSE-PPR-01 sudah disesuaikan dan diperbaiki.</t>
  </si>
  <si>
    <t>Perlu Perbaikan/pembaruan Dokumen:
 1. Program proteksi dan keselamatan radiasi (11 November 2025) : 
 a) Bab 1 Dasar Hukum: 
 - Perka BAPETEN No. 6 Tahun 2009 diganti dengan Peraturan BAPETEN (Perba) No. 2 Tahun 2025 tentang Keselamatan Radiasi Dalam Penggunaan Sumber Radiasi Pen-gion Untuk Peralatan Pengukuran (Gauging);
 - Perka BAPETEN No. 16 Tahun 2014 diganti dengan Peraturan BAPETEN (Perba) No. 4 Tahun 2024 tentang Izin Bekerja Petugas Pada Fasilitas Radiasi Dan/Atau Kegiatan Pem-anfaatan Sumber Radiasi Pengion
 - Peraturan BAPETEN No. 5 Tahun 2025 tentang Standar Kegiatan Usaha Dan Standar Produk Pada Penyelenggaraan Perizinan Be-rusaha Berbasis Risiko Sektor Ketenaganukliran (pengganti Perba No. 3 Tahun 2021).
 dan dihilangkan:
 - Perka BAPETEN No. 1 tahun 2022.
 b) Ruang Lingkup, disesuaikan dengan tujuan pemanfaatan sumber radiasi pengion. Urutan prinsip proteksi ra-diasi diperbaiki menjadi Justifikasi, Optimisasi dan Limitasi
 c) Definisi diperbaiki, dengan mengacu pada PP No. 45 Tahun 2023 dan Per-ka/Perba terkait
 d) Bab II.2. Tanggung jawab Pemegang Izin diperbaiki dengan mengacu pa-da PP No. 45 Tahun 2023 Pasal 114, selanjutnya tanggung jawab PPR, petugas perawatan, operator mengacu pada Perba No. 2 Tahun 2025, dan ditambahkan:
 e) Nilai Pembatas Dosis Pekerja Radiasi
 Selanjutnya dokumen Program proteksi dan keselamatan radiasi disusun kembali dengan mengacu sistematika pada Lampiran II Perba No. 2 Tahun 2025
 2. Logbook pemantauan paparan radiasi, ditambahkan nilai laju paparan radiasi latar belakang</t>
  </si>
  <si>
    <t>-Pelaku Usaha agar melakukan perbaikan dokumen-dokumen Program Proteksi dan Keselamatan Radiasi dan Logbook Pemantauan paparan radiasi&lt;br /&gt;
 Untuk menutup temuan, unggah bukti dokumen-dokumen perbaikan tersebut di atas melalui menu TLHI (Tindak Lanjut Hasil Inspeksi) di Sistem Balis Infara (https://balis-infara.bapeten.go.id) sebagai bukti tindak lanjut hasil inspeksi.&lt;br&gt;</t>
  </si>
  <si>
    <t>Dokumen Program Proteksi dan Keselamatan Radiasi telah diperbaharui sesuai dengan pembaharuan mengikuti Perba No. 2 tahun 2025 tentang Keselamatan Radiasi Dalam Penggunaan Sumber Radiasi Peng-ion Untuk Peralatan Pengukuran (Gauging), Perba No. 4 Tahun 2024 tentang Izin Bekerja Petugas Pada Fasilitas Radiasi Dan/Atau Kegiatan Pem-anfaatan Sumber Radiasi Pengion, dan Perba No. 5 Tahun 2025 tentang Standar Kegiatan Usaha Dan Standar Produk Pada Penyelenggaraan Perizinan Be-rusaha Berbasis Risiko Sektor Ketenaganukliran.
 Serta untuk dokumen pemantauan Paparan radiasi telah ditambahkan pengukuran paparan background.</t>
  </si>
  <si>
    <t>Perlu Perbaikan Dokumen:
 1. Program proteksi dan keselamatan radiasi (24 Oktober 2022) perlu perbaikan: 
 a) Bab 1 Dasar Hukum: 
 - Peraturan Pemerintah (PP) No. 33 Tahun 2007 diganti dengan Pera-turan Pemerintah No. 45 Tahun 2023 Tentang Keselamatan Radiasi Pengion dan Keamanan Zat Radioaktif (sebagai pengganti PP No. 33 Tahun 2007);
 - Perka BAPETEN No. 6 Tahun 2009 diganti dengan Peraturan BAPETEN (Perba) No. 2 Tahun 2025 tentang Keselamatan Radiasi Dalam Penggunaan Sumber Radiasi Pen-gion Untuk Peralatan Pengukuran (Gauging);
 - Perka BAPETEN No. 16 Tahun 2014 diganti dengan Peraturan BAPETEN (Perba) No. 4 Tahun 2024 tentang Izin Bekerja Petugas Pada Fasilitas Radiasi Dan/Atau Kegiatan Pemanfaatan Sumber Radiasi Pengion, dan ditambahkan:
 - Peraturan Pemerintah No. 28 Ta-hun 2025 Tentang Penyeleng-garaan Perizinan Berusaha Ber-basis Risiko.
 - Peraturan BAPETEN No. 5 Tahun 2025 tentang Standar Kegiatan Usaha Dan Standar Produk Pada Penyelenggaraan Perizinan Be-rusaha Berbasis Risiko Sektor Ketenaganukliran.
 b) Ruang Lingkup, disesuaikan dengan setiap tujuan pemanfaatan sumber radiasi pengion
 c) Definisi diperbaiki, dengan mengacu pada PP No. 45 Tahun 2023 dan Perka/Perba terkait
 d) Terminologi AR, OR dan Perka No. 8 Tahun 2014 dihilangkan
 e) Bab II.2. Tanggung jawab Pemegang Izin diperbaiki dengan mengacu pada PP No. 45 Tahun 2023 Pasal 114, selanjutnya tanggung jawab PPR, petugas perawatan, operator mengacu pada Perba No. 2 Tahun 2025
 f) Bab III.1. diskripsi pesawat sinar-X, dilengkapi dengan data tipe dan no. seri tabung untuk setiap pesawat si-nar-X. 
 g) Bab III.3. Deskripsi perlengkapan proteksi radiasi, evaluasi TLD dan kalibrasi surveymeter ke LTKMR-BRIN
 h) Bab IV.2 Prosedur pengangkutan pesawat sinar- X dihilangkan
 i) Bab V.7 pengelolaan limbah radiokatif dihilangkan
 Selanjutnya dokumen Program proteksi dan keselamatan radiasi disusun kembali dengan mengacu sistematika pada Lampiran II Perba No. 2 Tahun 2025 dan dipisahkan untuk tujuan:
 - Uji tak rusak, dan 
 - Analisis menggunakan sumber radiasi pengion (sesuai dengan Peraturan BAPETEN No. 5 Tahun 2025)
 2. Daftar inventarisasi pesawat ditambahkan tujuan pemanfaatan.</t>
  </si>
  <si>
    <t>-Pelaku Usaha agar melakukan perbaikan Dokumen Program Proteksi dan Keselamatan Radiasi dan dipisahkan untuk tujuan &lt;br /&gt;
 - Uji tak rusak menggunakan Sumber Radiasi Pengion terpasang tetap, dan &lt;br /&gt;
 - Analisis menggunakan sumber radiasi pengion.&lt;br /&gt;
 Untuk menutup temuan, unggah bukti dokumen dokumen-dokumen perbaikan tersebut di atas melalui menu TLHI (Tindak Lanjut Hasil Inspeksi) di Sistem Balis Infara (https://balis-infara.bapeten.go.id) sebagai bukti tindak lanjut hasil inspeksi.&lt;br&gt;</t>
  </si>
  <si>
    <t>Dokumen sudah dilakukan perbaikan sesuai rekomendasi dari evaluator Bapeten</t>
  </si>
  <si>
    <t>Perlu Perbaikan Dokumen:
 1. Program proteksi dan keselamatan radiasi (24 Oktober 2022) perlu perbaikan: 
 a) Bab 1 Dasar Hukum: 
 - Peraturan Pemerintah (PP) No. 33 Tahun 2007 diganti dengan Pera-turan Pemerintah No. 45 Tahun 2023 Tentang Keselamatan Radiasi Pengion dan Keamanan Zat Radi-oaktif (sebagai pengganti PP No. 33 Tahun 2007);
 - Perka BAPETEN No. 6 Tahun 2009 diganti dengan Peraturan BAPETEN (Perba) No. 2 Tahun 2025 tentang Keselamatan Radiasi Dalam Penggunaan Sumber Radiasi Pen-gion Untuk Peralatan Pengukuran (Gauging);
 - Perka BAPETEN No. 16 Tahun 2014 diganti dengan Peraturan BAPETEN (Perba) No. 4 Tahun 2024 tentang Izin Bekerja Petugas Pada Fasilitas Radiasi Dan/Atau Kegiatan Pem-anfaatan Sumber Radiasi Pengion, dan ditambahkan:
 - Peraturan Pemerintah No. 28 Ta-hun 2025 Tentang Penyeleng-garaan Perizinan Berusaha Ber-basis Risiko.
 - Peraturan BAPETEN No. 5 Tahun 2025 tentang Standar Kegiatan Usaha Dan Standar Produk Pada Penyelenggaraan Perizinan Be-rusaha Berbasis Risiko Sektor Ketenaganukliran.
 b) Ruang Lingkup, disesuaikan dengan setiap tujuan pemanfaatan sumber radiasi pengion
 c) Definisi diperbaiki, dengan mengacu pada PP No. 45 Tahun 2023 dan Per-ka/Perba terkait
 d) Terminologi AR, OR diperbaiki menjadi Radiografer Tingkat II, Radiografer Tingkat I mengacu pada Perba No. 4/2024 dan Perka No. 7 Tahun 2009 dan Perka No. 8 Tahun 2014
 e) Bab II.2. Tanggung jawab Pemegang Izin diperbaiki dengan mengacu pa-da PP No. 45 Tahun 2023 Pasal 114, selanjutnya tanggung jawab PPR, petugas perawatan, operator mengacu pada Perba No. 2 Tahun 2025
 f) Bab III.1. diskripsi pesawat sinar-X, dilengkapi dengan data tipe dan no. seri tabung untuk setiap pesawat si-nar-X. 
 g) Bab III.3. Deskripsi perlengkapan proteksi radiasi, evaluasi TLD dan kalibrasi surveymeter ke LTKMR-BRIN
 h) Bab IV.2 Prosedur pengangkutan pe-sawat sinar- dihilangkan
 i) Bab V.7 pengelolaan limbah radio-katif dihilangkan
 Selanjutnya dokumen Program proteksi dan keselamatan radiasi disusun kembali dengan mengacu sistematika pada Lampiran II Perba No. 2 Tahun 2025 dan dipisahkan untuk tujuan:
 - Uji tak rusak, dan 
 - Analisis menggunakan sumber radiasi pengion (sesuai dengan Peraturan BAPETEN No. 5 Tahun 2025)
 2. Daftar inventarisasi pesawat ditambahkan tujuan pemanfaatan</t>
  </si>
  <si>
    <t>Perlu perbaikan/pembaruan dokumen:
 1. Program Proteksi Dan Keselamatan Radiasi (Maret 2026)
 a) Bab 1.3 Dasar Hukum
 - ditambahkan: Peraturan Pemerintah No. 28 Tahun 2025 Tentang Penyelenggaraan Perizinan Berusaha Berbasis Risiko.
 - Peraturan BAPETEN (Perba) No. 3 Tahun 2021 diganti dengan Peraturan BAPETEN 5 Tahun 2025 tentang Standar Kegiatan Usaha Dan Standar Produk Pada Penyelenggaraan Perizinan Berusaha Berbasis Risiko Sektor Ketenaganukliran
 - Diperbaiki: Peraturan BAPETEN No. 5 Tahun 2024 tentang Keamanan Zat Radioaktif.
 b) Definisi diperbaiki, dengan mengacu pada PP No. 45 Tahun 2023 dan Perba terkait
 c) Bab II.2.1 Tanggung jawab Pemegang Izin diperbaiki dengan mengacu pada PP No. 45 Tahun 2023 Pasal 114, selanjutnya tanggung jawab PPR, petugas perawatan, operator mengacu pada Perba No. 2 Tahun 2025
 d) Bab II.2.3 diperbaiki dapat mengacu pada Peraturan BAPETEN No. 4 Tahun 2024 tentang Izin Bekerja Petugas Pada Fasilitas Radiasi aan/atau Kegiatan Pemanfaatan Sumber Radiasi Pengion.
 e) Bab II.4. Mapping pekerja radiasi dihilangkan
 f) Bab III.5. Diperbarui jumlah perlengkapan Proteksi Radiasi sesuai dengan kondisi terkini
 g) Bab III.6. Pendose dilengkapi dengan Spesifikasi teknis
 h) Bab IV.9 Pembatas Dosis, ditetapkan per tahun
 Ditambahkan pada Lampiran inventarisasi zat radioaktif yang dilengkapi dengan layout/keberadaan zat radioaktif di setiap lokasi line produksi
 Selanjutnya dokumen Program Proteksi Dan Keselamatan Radiasi disusun kembali dengan mengacu sistematika pada Lampiran II Perba No. 2 Tahun 2025
 2. Program Keamanan Zat Radioaktif (rev 08) perlu perbaikan:
 a) Perka BAPETEN No. 6 Tahun 2015 diganti dengan Perba No. 5 Tahun 2024 tentang Keamanan Zat Radioaktif
 b) Bab II.1 Data Zat Radioaktif pada Tabel diperbarui sesuai dengan kondisi terkini (tahun 2022 telah dilimbahkan, 4 (empat) Co-60 ke IPLR-BRIN)
 c) Bab II.2 pengukuran (gauging) dalam penggunaan zat radioaktif termasuk dalam tingkat keamanan C dan penyimpanan sementara zat radioaktif termasuk dalam tingkat keamanan B (mengacu pada Lampiran III Perba No. 5 Tahun 2024)
 d) Bab III.2 Tugas dan tanggung jawab Pemegang Izin, Petugas Keamanan Zat Radioaktif (PKZR), personel keamanan dan/atau personel lain yang terlibat dalam pemanfaatan atau memiliki akses terhadap zat radioaktif diperbaiki dapat mengacu pada Perba No. 5 Tahun 2024.
 Selanjutnya dokumen Program Keamanan Zat Radioaktif disusun kembali sesuai dengan format dan isi yang tercantum pada Lampiran V Perba No. 5 Tahun 2024
 3. Data inventarisasi sumber radiasi pengion ditambahkan kolom keterangan (status)</t>
  </si>
  <si>
    <t>-Pelaku Usaha agar melakukan perbaikan Dokumen Program Proteksi dan Keselamatan Radiasi dan Program Keamanan Zat Radioaktif, data inventarisasi sumber radiasi pengion.&lt;br /&gt;
 &lt;br /&gt;
 Untuk menutup temuan, unggah bukti dokumen-dokumen perbaikan tersebut di atas melalui menu TLHI (Tindak Lanjut Hasil Inspeksi) di Sistem Balis Infara (bapeten.go.id) sebagai bukti tindak lanjut hasil inspeksi.&lt;br&gt;-Pelaku Usaha agar melakukan perbaikan Dokumen Program Proteksi dan Keselamatan Radiasi dan Program Keamanan Zat Radioaktif, data inventarisasi sumber radiasi pengion&lt;br /&gt;
 &lt;br /&gt;
 Untuk menutup temuan, unggah bukti dokumen-dokumen perbaikan tersebut di atas melalui menu TLHI (Tindak Lanjut Hasil Inspeksi) di Sistem Balis Infara (https://balis-infara.bapeten.go.id) sebagai bukti tindak lanjut hasil inspeksi.&lt;br /&gt;
 &lt;br&gt;</t>
  </si>
  <si>
    <t>Dalam dokumen program proteksi dan keselamatan radiasi terdapat kesalahan dalam penentuan:
 • Nilai pembatas dosis masih menggunakan nilai pembatas dosis pada tahap desain yaitu ½ NBD, sementara fasilitas radiologi sudah beroperasi dari Tahun 1999.
 • Pembagian daerah kerja (daerah pengendalian dan daerah supervisi) serta ketentuan area publik tidak sesuai dengan ketentuan (kesalahan penetapan nilai pembatas dosis).</t>
  </si>
  <si>
    <t>PROGRAM PROTEKSI DAN 
 KESELAMATAN RADIASI RADIOLOGI 
 DIAGNOSTIK DAN INTERVENSIONAL</t>
  </si>
  <si>
    <t>Dalam program proteksi dan keselamatan radiasi belum terdapat bahasan mengenai:
 • pembagian daerah kerja
 • pembatas dosis pekerja radiasi dan masyarakat umum pada tahap operasi</t>
  </si>
  <si>
    <t>-Kode Temuan 3.07.03&lt;br /&gt;
 Pelaku usaha agar memperbaiki program proteksi dan keselamatan radiasi mengenai:&lt;br /&gt;
 Ø pembagian daerah kerja&lt;br /&gt;
 Ø pembatas dosis pekerja radiasi dan Masyarakat umum pada tahap operasi&lt;br /&gt;
 &lt;br /&gt;
 Program proteksi dan keselamatan radiasi yang telah dimutakhirkan diunggah di Sistem Balis Infara (https://balis-infara.bapeten.go.id) pada menu TLHI (Tindak Lanjut Hasil Inspeksi) sebagai bukti tindak lanjut hasil inspeksi.&lt;br /&gt;
 &lt;br&gt;</t>
  </si>
  <si>
    <t>Telah dilakukan pemutakhiran Program Proteksi dan Keselamatan Radiasi sesuai dengan hasil temuan inspeksi kode 3.07.03.
 Pemutakhiran program telah mencakup:
 1. Penetapan dan pembagian daerah kerja pada tahap operasi, termasuk daerah pengendalian dan daerah supervisi sesuai dengan kondisi operasional fasilitas.
 2. Penetapan pembatas dosis radiasi bagi Pekerja Radiasi dan Masyarakat Umum pada tahap operasi sesuai dengan ketentuan peraturan perundang-undangan yang berlaku.</t>
  </si>
  <si>
    <t>Tidak ada rekaman kejadian pengulangan (reject) penyinaran pasien.</t>
  </si>
  <si>
    <t>2. Rekaman pengulangan penyinaran</t>
  </si>
  <si>
    <t>Pada logbook pasien tidak tersedia keterangan usia, berat badan, dan pengulangan penyinaran.</t>
  </si>
  <si>
    <t>-Kode Temuan 3.07.03&lt;br /&gt;
 Pelaku Usaha agar memperbaiki logbook pasien dengan menambahkan keterangan usia, berat badan, dan pengulangan penyinaran.&lt;br /&gt;
 &lt;br /&gt;
 Logbook pasien yang sudah diperbaiki diunggah di Sistem Balis Infara (https://balis-infara.bapeten.go.id) melalui menu TLHI (Tindak Lanjut Hasil Inspeksi) sebagai bukti tindak lanjut hasil inspeksi.&lt;br /&gt;
 &lt;br&gt;</t>
  </si>
  <si>
    <t>Logbook pasien sudah diperbaiki dengan menambahkan keterangan usia, berat badan dan pengulangan penyinaran.</t>
  </si>
  <si>
    <t>1) Program proteksi belum sesuai dengan peraturan perundang-undangan:
 1. Untuk referensi peraturan perundang-undangan sudah tidak sesuai: PP 29 tahun 2008, Peraturan BAPETEN No. 3 tahun 2021 dan Peraturan BAPETEN No. 1 tahun 2022 diganti menjadi PP 28 tahun 2025 dan Peraturan BAPETEN No. 5 Tahun 2025.
 2. pembatas dosis saat ini dibuat per profesi, perlu diperbaiki dan ditetapkan untuk pekerja radiasi 
 3. belum menentukan frekuensi pelatihan
 4. menyesuaikan perlengkapan proteksi dengan kondisi riil
 2) Nilai pembatas dosis belum dilakukan revisi sesuai dengan penerimaan dosis tahunan pekerja radiasi rata-rata.</t>
  </si>
  <si>
    <t>1. Program proteksi belum sesuai dengan peraturan perundang-undangan:
 Untuk referensi peraturan perundang-undangan sudah tidak sesuai: 
 a. PP 29 tahun 2008, Peraturan BAPETEN No. 3 tahun 2021 dan Peraturan BAPETEN No. 1 tahun 2022 diganti menjadi PP 28 tahun 2025 dan Peraturan BAPETEN No. 5 Tahun 2025.b. pembatas dosis saat ini dibuat per profesi, perlu diperbaiki dan ditetapkan untuk pekerja radiasi di produksi radioisotop.
 c. proteksi terkait pasien dihilangkan, misalnya prosedur pendamping pasien, dsb
 d. belum menentukan frekuensi pelatihan.
 e. belum menyesuaikan perlengkapan proteksi dengan kondisi riil.
 f. belum ada ketua penanggulangan keadaan darurat. 
 2. Nilai pembatas dosis belum dilakukan revisi sesuai dengan penerimaan dosis tahunan pekerja radiasi rata-rata</t>
  </si>
  <si>
    <t>Program proteksi dan keselamatan radiasi belum sesuai dengan peraturan-perundang-undangan:
 1. Untuk referensi peraturan perundang-undangan sudah tidak sesuai: PP 29 tahun 2008, Peraturan BAPETEN No. 3 tahun 2021 dan Peraturan BAPETEN No. 1 tahun 2022 diganti menjadi PP 28 tahun 2025 dan Peraturan BAPETEN No. 5 Tahun 2025.
 2. Terdapat data alat yang belum sesuai dalam program: yaitu untuk unit terbaru Zeiss.
 3. Belum melakukan pengukuran paparan daerah kerja sesuai dengan program proteksi radiasi.
 4. Jumlah perlengkapan proteksi radiasi untuk tidak sesuai dengan yang dimiliki (jumlah surveymeter dan OSL).
 5. Nilai pembatas dosis terlalu tinggi dan belum memperhatikan histori penerimaan dosis perorangan.
 6. Kondisi kemungkinan kedaruratan dan tindakan yang akan dilakukan belum dituliskan dalam program.
 7. Frekuensi pelatihan belum disebutkan dan dilaksanakan.
 8. Kendali mutu internal belum tercantum dalam program proteksi dan keselamatan radiasi.</t>
  </si>
  <si>
    <t>1. Sertifikat hasil uji belum menampilkan faktor kalibrasi alat ukur yang digunakan dan dosis radiasi riil yang terukur.
 2. Program proteksi dan keselamatan radiasi belum sesuai dengan ketentuan:
 a. referensi peraturan perundang-undangan belum menggunakan peraturan terkini.
 b. belum memasukkan beberapa prosedur, diantaranya prosedur pengujian paparan, prosedur instalasi, prosedur pengecekan fisik saat barang datang</t>
  </si>
  <si>
    <t>Implementasi Sertifikat Hasil Uji yang dilengkapi dengan menambahkan faktor kalibrasi alat ukurPerbaikan Program Proteksi dan Keselamatan RadiasiTangkapan layar LVKF yang sudah dilengkapi sebagai Tindak Lanjut Inspeksi di Sistem Balis Infara</t>
  </si>
  <si>
    <t>Program proteksi dan keselamatan radiasi belum sesuai dengan ketentuan:
 a. referensi peraturan yang digunakan masih peraturan yang lama dan belum diperbaharui.
 b. belum menetapkan nilai pembatas dosis.
 c. pemantauan radioaktivitas lingkungan tidak perlu dituliskan di program radiasi.
 d. pelatihan proteksi radiasi rutin belum dituliskan</t>
  </si>
  <si>
    <t>Terlampir kami sampaikan Program proteksi dan keselamatan radiasi yang telah di perbaharui dimana :. 
 a. referensi peraturan yang digunakan sudah diperbaharui.
 b. nilai pembatas dosis telah ditetapkan pada halaman 28
 c. pemantauan radioaktivitas lingkungan telah dihapus
 d. pelatihan proteksi radiasi rutin telah dituliskan di halaman 13terlampir kami sampaikan program proteksi dan keselamatan radiasi yang telah diperbaiki</t>
  </si>
  <si>
    <t>Program proteksi dan keselamatan radiasi belum sesuai dengan ketentuan:
 1. referensi peraturan perundang-undangan belum memasukkan Perba 5 Tahun 2025 dan Perka 4 tahun 2013.
 2. belum memasukkan pelatihan proteksi radiasi rutin untuk pekerja radiasi.
 3. perbaiki data perlengkapan radiasi yang sesuai dengan kondisi riil di lapangan.
 4. pemantauan paparan radiasi di daerah kerja tidak perlu dimasukkan dalam program. 
 5. data pekerja radiasi disesuaikan dengan kondisi saat ini.</t>
  </si>
  <si>
    <t>Dokumen Program Proteksi dan Keselamatan Radiasi perlu diperbaiki sesuai petunjuk tim inspektur di lapangan.</t>
  </si>
  <si>
    <t>-Pelaku Usaha melakukan perbaikan dokumen program proteksi dan keselamatan radiasi sesuai petunjuk tim inspektur di lapangan.&lt;br&gt;</t>
  </si>
  <si>
    <t>Dokumen sudah diperbaiki dan disubmit ke Balisonline pada proses perubahan alamat pemanfaatan</t>
  </si>
  <si>
    <t>1. SPO kedaruratan perlu diperbaiki karena tidak mencantumkan tindakan proteksi yang dilakukan jika terdapat adanya paparan berlebih terhadap pasien.
 2. Rujukan peraturan perundangan pada semua dokumen SOP dan program proteksi belum dimutakhirkan. 
 3. Penetapan Pembatas Dosis belum mempertimbangkan adanya paparan radiasi dari jalur limbah kedokteran nuklir yang melalui dekat ruang janitor.</t>
  </si>
  <si>
    <t>Terdapat dokumen dan rekaman yang harus diperbaiki sesuai petunjuk tim inspektur di lapangan, yaitu:
 1. Dokumen Program Proteksi dan Keselamatan Radiasi;
 2. Prosedur kerja di luar ruangan belum tersedia dan perlu dijelaskan langkah kerja lebih rinci; 
 3. Formulir Hasil Pengukuran Laju Paparan Radiasi Sinar-X agar ukuran huruf (font) diperbesar sehingga mudah terbaca, serta membuat formulir serupa untuk pengukuran di luar ruangan dengan mencantumkan jarak pengukuran dari sumber terhadap operator dan jarak perimeter sekitar lokasi kerja.</t>
  </si>
  <si>
    <t>-Pelaku Usaha wajib:&lt;br /&gt;
 1. Melakukan perbaikan dokumen program proteksi dan keselamatan radaisi sesuai dengan temuan.&lt;br /&gt;
 2. Membuat prosedur kerja di luar ruangan&lt;br /&gt;
 3. Memperbaiki formulir pengukuran laju paparan radiasi sinar-X.&lt;br /&gt;
 &lt;br&gt;</t>
  </si>
  <si>
    <t>Kami telah merevisi dokumen Prosedur sesuai dengan catatan yang tertera dalam Berita Acara Pemeriksaan Pengawasan Pelaku Usaha Sektor Ketenaganukliran, tertanggal 25 Juni 2026 serta dalam tabel yang di atas.</t>
  </si>
  <si>
    <t>Dokumen Program Proteksi dan Keselamatan Radiasi perlu diperbaiki sesuai petunjuk tim inspektur di lapangan</t>
  </si>
  <si>
    <t>Perlu dilakukan perbaikan dokumen Program Proteksi dan Keselamatan Radiasi, agar rujukan peraturan perundangan diperbarui atau dimutakhirkan dengan ketentuan yang terbaru.</t>
  </si>
  <si>
    <t>-Pelaku Usaha agar melakukan perbaikan dokumen program proteksi dan keselamatan radiasi sesuai dengan petunjuk tim inspektur di lapangan.&lt;br&gt;</t>
  </si>
  <si>
    <t>1. Dokumen Program Proteksi dan Keselamatan Radiasi perlu diperbaiki dengan mencantumkan rujukan peraturan perundangan terbaru, antara lain Perba 5/2025, PP 28/2025, dan lain-lain.</t>
  </si>
  <si>
    <t>-Pelaku Usaha melakukan perbaikan dokumen Program Proteksi dan Keselamatan Radiasi dengan mencantumkan rujukan peraturan perundangan terbaru, antara lain Perba 5/2025, PP 28/2025, dan lain-lain.&lt;br&gt;</t>
  </si>
  <si>
    <t>Perlu perbaikan dokumen:
 a. Dokumen Program Proteksi dan Keselamatan Radiasi perlu perbaikan pada nilai pembatas dosis.
 b. Terdapat 1 (satu) unit SRP dengan Sertifikat Uji Kesesuaian yang telah kedaluwarsa yaitu Pesawat Sinar-X CTScan (CT-Scan Konvensional), Siemens dengan Nomor Seri Tabung 660451573
 c. Logbook catatan pasien belum dilengkapi kondisi penyinaran (kV, mA, s dan/atau mAs), pengulangan penyinaran dan berat badan pasien</t>
  </si>
  <si>
    <t>Telah kami lakukan perbaikan pada dokumen program proteksi radiasi pada halaman 28 sesuai dengan arahan dari InspekturTelah kami lakukan uji kesesuaian Pesawat Sinar-X CT-Scan (CTScan Konvensional), Siemens dengan Nomor Seri Tabung 660451573 pada hari kamis tanggal 23 Juli 2026 melalui PT Eksgon BrotherTelah kami lakukan pencatatan KV &amp; mAs pada buku register pasien maupun SIM RS segera setelah Bapeten melakukan inspeksi pada tanggal 08-Juli 2026, dengan ,menambahkan kolom catatan KV mAs pada buku register. Sebelumnya memang di buku register belum kami lakukan pencatatan, hanya di SIM RS.</t>
  </si>
  <si>
    <t>Dokumen Program Proteksi dan Keselamatan Radiasi perlu perbaikan konten terkait acuan Peraturan Perundang-undangan Ketenaganukliran untuk disesuaikan dari Peraturan Pemerintah Nomor 29 Tahun 2008 diganti menjadi Peraturan Pemerintah Nomor 28 Tahun 2025 tentang Penyelenggaraan Perizinan Berusaha Berbasis Risiko. Belum mencantumkan Peraturan BAPETEN Nomor 5 Tahun 2025 Tentang Standar Kegiatan Usaha dan/atau Standar Produk/Jasa Pada Penyelenggaraan Perizinan Berusaha Berbasis Risiko Sektor Ketenaganukliran.</t>
  </si>
  <si>
    <t>-Pelaku usaha agar melakukan perbaikan dokumen program proteksi dan keselamatan radiasi sesuai dengan arahan tim inspektur pada kolom uraian temuan. &lt;br /&gt;
 &lt;br /&gt;
 Untuk menutup temuan, agar mengunggah dokumen program proteksi dan keselamatan radiasi yang telah diperbaiki melalui menu TLHI (Tindak Lanjut Hasil Inspeksi) Balis Infara (https://balis-infara.bapeten.go.id) sebagai bukti tindak lanjut hasil inspeksi &lt;br&gt;</t>
  </si>
  <si>
    <t>program proteksi terbaru</t>
  </si>
  <si>
    <t>Terdapan dokumen yang perlu perbaikan: 
 a. Dokumen Program Proteksi dan Keselamatan Radiasi perlu perbaikan konten terkait acuan Peraturan Perundang-undangan Ketenaganukliran untuk disesuaikan dari Peraturan BAPETEN Nomor 3 Tahun 2021 diganti menjadi Peraturan BAPETEN Nomor 5 Tahun 2025 Tentang Standar Kegiatan Usaha dan/atau Standar Produk/Jasa Pada Penyelenggaraan Perizinan Berusaha Berbasis Risiko Sektor Ketenaganukliran. 
 b. Perbaikan pada SOP harus mencantumkan peraturan yang terbaru
 c. Prosedur keselamatan radiasi bagi pendamping pasien untuk disesuaikan dengan ketentuan pada Pasal 49 Peraturan BAPETEN nomor 4 Tahun 2020.</t>
  </si>
  <si>
    <t>Telah dilakukan perbaikan terhadap dokumen Program Proteksi dan Keselamatan Radiasi beserta dokumen pendukungnya, dengan rincian sebagai berikut:
 Dokumen Program Proteksi dan Keselamatan Radiasi telah direvisi dengan memperbarui acuan peraturan perundang-undangan di bidang ketenaganukliran, yaitu mengganti acuan Peraturan BAPETEN Nomor 3 Tahun 2021 menjadi Peraturan BAPETEN Nomor 5 Tahun 2025 tentang Standar Kegiatan Usaha dan/atau Standar Produk/Jasa pada Penyelenggaraan Perizinan Berusaha Berbasis Risiko Sektor Ketenaganukliran.
 Seluruh Standar Operasional Prosedur (SOP) yang terkait telah diperbarui dengan mencantumkan peraturan perundang-undangan yang terbaru sebagai dasar hukum pelaksanaannya.
 Prosedur Keselamatan Radiasi bagi Pendamping Pasien telah disesuaikan dengan ketentuan yang diatur dalam Pasal 49 Peraturan BAPETEN Nomor 4 Tahun 2020 tentang Keselamatan Radiasi dalam Penggunaan Pesawat Sinar-X untuk Radiologi Diagnostik dan Intervensional.
 Dengan perbaikan tersebut</t>
  </si>
  <si>
    <t>Dokumen Program Proteksi dan Keselamatan Radiasi perlu perbaikan konten terkait acuan Peraturan Perundang-undangan Ketenaganukliran:
 a. Peraturan Pemerintah Nomor 29 Tahun 2008 untuk dihapuskan.
 b. Untuk menambahkan Peraturan BAPETEN Nomor 5 Tahun 2025 Tentang Standar Kegiatan Usaha dan/atau Standar Produk/Jasa Pada Penyelenggaraan Perizinan Berusaha Berbasis Risiko Sektor Ketenaganukliran.</t>
  </si>
  <si>
    <t>1. Dokumen Program Proteksi dan Keselamatan Radiasi perlu perbaikan konten terkait: 
 a. Acuan Peraturan Perundang-undangan Ketenaganukliran untuk disesuaikan dari Peraturan Pemerintah (PP) No. 29 Tahun 2008 menjadi PP 28 Tahun 2025 tentang Penyelenggaraan Perizinan Berusaha Berbasis Risiko dan PP No. 33 Tahun 2007 diganti dengan PP 45 Tahun 2023 tentang Keselamatan Radiasi Pengion dan Keamanan Zat Radioaktif. 
 b. Penerapan sistem pambatas dosis (dose constraint) perlu dikaji ulang menyesuaikan dengan hasil evaluasi dosis pekerja radiasi. 
 2. Sebagian dokumen Prosedur/SOP perlu perbaikan konten terkait acuan peraturan Perundang-undangan.</t>
  </si>
  <si>
    <t>perubahan acuan dokumen PPKR dan pembatas dosis serta kelengkapan SPO</t>
  </si>
  <si>
    <t>Dokumen Program Proteksi dan Keselamatan Radiasi perlu perbaikan konten terkait acuan Peraturan Perundang-undangan Ketenaganukliran untuk disesuaikan dari Peraturan BAPETEN Nomor 1 Tahun 2022 diganti menjadi Peraturan BAPETEN Nomor 5 Tahun 2025 Tentang Standar Kegiatan Usaha dan/atau Standar Produk/Jasa Pada Penyelenggaraan Perizinan Berusaha Berbasis Risiko Sektor Ketenaganukliran dan PP Nomor 33 Tahun 2007 diganti dengan PP Nomor 45 tahun 2023 tentang Keselamatan Radiasi Pengion dan Keamanan Zat Radioaktif. Belum mencantumkan PP Nomor 28 Tahun 2025 tentang Penyelenggaraan Perizinan Berusaha Berbasis Risiko.</t>
  </si>
  <si>
    <t>-Pelaku usaha agar melakukan perbaikan dokumen program proteksi dan keselamatan radiasi sesuai dengan arahan tim inspektur pada kolom uraian temuan.&lt;br /&gt;
 &lt;br /&gt;
 Untuk menutup temuan, agar mengunggah dokumen program proteksi dan keselamatan radiasi yang telah diperbaiki melalui menu TLHI (Tindak Lanjut Hasil Inspeksi) Balis Infara (https://balis-infara.bapeten.go.id) sebagai bukti tindak lanjut hasil inspeksi &lt;br&gt;</t>
  </si>
  <si>
    <t>Program Proteksi Radiasi- Perubahan</t>
  </si>
  <si>
    <t>Perlu Perbaikan dokumen/Rekaman :
 1. Perlu perbaikan dalam dokumen program proteksi radiasi :
 • Perbaikan referensi peraturan yaitu PP No. 5 Tahun 2021 menjadi PP No. 28 Tahun 2025 
 • Perbaikan referensi peraturan yaitu Peraturan BAPETEN No. 3 Tahun 2021 dan Peraturan BAPETEN No. 1 Tahun 2022 menjadi Peraturan BAPETEN No. 5 Tahun 2025 
 • Perbaikan Peraturan Pemerintah Nomor 33 tahun 2007 menjadi PP 45 tahun 2023 tentang Keselamatan Radiasi Pengion Dan Keamanan Sumber Radioaktif,
 • Perbaikan data spesifikasi peralatan di dokumen program proteksi radiasi (sesuaikan dengan data KTUN Izin)
 • Perbaikan pada definisi daerah pengendalian dengan menambahkan kriteria potensi penerimaan paparan radiasi pekerja 
 • Kaji Ulang nilai pembatas dosis untuk pekerja radiasi 
 2. Perlu Perbaikan dalam laporan kajian keselamatan radiasi 
 • Penambahan referensi PP No. 28 Tahun 2025 
 • Perbaikan referensi peraturan yaitu Peraturan BAPETEN No. 3 Tahun 2021 dan Peraturan BAPETEN No. 1 Tahun 2022 menjadi Peraturan BAPETEN No. 5 Tahun 2025 
 3. Prosedur pendamping pasien yang sesuai dengan ketentuan yang pada Peraturan BAPETEN Nomor 4 Tahun 2020 pasal 49 untuk memuat klausul sebagi berikut: 
 • Pendamping pasien berusia minimal 18 tahun. 
 • Pendamping pasien merupakan keluarga pasien bukan dari pekerja radiasi. 
 • Jika pendamping pasien adalah wanita, dipastikan pendamping pasien tidak sedang atau diduga hamil.</t>
  </si>
  <si>
    <t>Perbaikan program proteksi radiasiPerbaikan laporan kajian keselamatan radiasiProsedur pendamping pasien yang sesuai dengan ketentuan yang pada Peraturan BAPETEN Nomor 4 Tahun 2020Perbaikan program proteksi radiasiProsedur pendamping pasien yang sesuai dengan ketentuan yang pada Peraturan BAPETEN Nomor 4 Tahun 2020Perbaikan laporan kajian keselamatan radiasi</t>
  </si>
  <si>
    <t>Perbaikan Dokumen dan Rekaman:
 1. Perbaikan dokumen program proteksi dan keselamatan radiasi :
 a. Memperbaiki referensi peraturan yang dijadikan acuan:
 • PP No. 3 Tahun 2021 telah diubah menjadi PP No. 28 Tahun 2025
 • Peraturan BAPETEN No. 3 Tahun 2021 dan Peraturan BAPETEN No. 1 Tahun 2022 telah di amendemen menjadi Peraturan BAPETEN No. 5 Tahun 2025;
 b. Perbaikan struktur organisasi penyelenggara keselamatan radiasi pada halaman 11 (terutama pada posisi petugas proteksi radiasi)
 2. Perbaikan dokumen keamanan ZRA
 • Perbaikan referensi Perka No. 06 Tahun 2015 menjadi Perba No. 05 Tahun 2024 tentang Keamanan Zat Radioaktif
 • Perbaikan Isi dan uraian dokumen belum memenuhi ketentuan program keamanan zat radioaktif berdasarkan Perba No. 05 Tahun 2024 (contoh program keamanan ZRA dapat dilihat di lampiran halaman 62)
 3. Perbaikan Program komisioning : Penyesuaian dengan isi dan ketentuan yang terdapat di Perba BAPETEN Nomor 05 Tahun 2025 tentang Standar Kegiatan Usaha dan/atau Standar Produk/Jasa pada Penyelenggaraan Perizinan</t>
  </si>
  <si>
    <t>a. Perlu perbaikan dalam dokumen program proteksi radiasi :
 1. Perbaikan referensi peraturan yaitu Perba No. 3 Tahun 2021 dan Perba No. 1 Tahun 2022 menjadi Perba No. 5 Tahun 2025 dan Penambahan Referensi PP No. 28 Tahun 2025 di latar belakang dan dasar acuan 
 2. Perbaikan struktur organisasi proteksi dan keselamatan radiasi pada BAB II terutama terkait posisi PPR
 3. Perlu dilakukan kaji ulang pembatas dosis untuk pekerja radiasi.
 b. Perlu perbaikan dalam dokumen Kajian Keselamatan :
 1. Perbaikan referensi peraturan yaitu Perba No. 3 Tahun 2021, Perba No. 1 Tahun 2022 dan menjadi Perba No. 5 Tahun 2025 dan Penambahan Referensi PP No. 28 Tahun 2025 di latar belakang dan referensi
 c. Logbook Pasien Radiologi yang memuat dengan data dosis, data be-rat badan, serta data pengulangan penyinaran di Radiologi Diagnostik
 d. Penambahan Prosedur penggunaan Dosimeter langsung dan TLD mata 
 c. Prosedur pendamping pasien yang sesuai dengan ketentuan yang pada Peraturan BAPETEN Nomor 4 Tahun 2020 pasal 49 untuk memuat klausul sebagi berikut: 
 • Pendamping pasien berusia mini-mal 18 tahun. 
 • Pendamping pasien merupakan keluarga pasien bukan dari pekerja radiasi. 
 • Jika pendamping pasien adalah wanita, dipastikan pendamping pasien tidak sedang atau diduga hamil.</t>
  </si>
  <si>
    <t>Temuan 3.07.03 Point a: Dokumen Proteksi dan Keselamatan Radiasi telah direvisiTemuan 3.07.03 Point b: Dokumen Kajian Keselamatan Sumber Radiasi Pengion telah direvisi</t>
  </si>
  <si>
    <t>Terdapat beberapa dokumen yang harus diperbaiki antara lain:
 a. Dokumen program proteksi radiasi :
 1. Perbaikan referensi peraturan yaitu Peraturan BAPETEN No. 3 Tahun 2021 dan Peraturan BAPETEN No. 1 Tahun 2022 menjadi Peraturan BAPETEN No. 5 Tahun 2025 dan Penambahan Referensi PP No. 28 Tahun 2025 di latar belakang dan dasar acuan
 b. Dokumen Kajian Keselamatan :
 1. Perbaikan dasar hukum yaitu Peraturan BAPETEN No. 3 Tahun 2021 tentang Standar Kegiatan Usaha dan Standar Produk Pada Penyelenggaraan Perizinan Berusaha Berbasis Risiko Sektor Ketenaganukliran menjadi Peraturan BAPETEN No. 5 Tahun 2025 dan Penambahan Referensi PP No. 28 Tahun 2025 tentang Penyelenggaraan Perizinan Berusaha Berbasis Risiko di latar belakang dan dasar acuan
 2. Penetapan pembatas dosis perlu dikaji ulang 
 c. Program keamanan ZRA :
 1. Perbaikan referensi Peraturan Kepala BAPETEN No. 6 Tahun 2015 menjadi Peraturan BAPETEN No. 05 Tahun 2024 tentang Keamanan Zat Radioaktif
 2. Perbaikan Isi dan uraian dokumen belum memenuhi ketentuan program keamanan zat radioaktif berdasarkan Peraturan BAPETEN. 05 Tahun 2024 (contoh program keamanan ZRA dapat dilihat di lampiran halaman 62)
 d. Program Dekomisioning :
 • Penambahan dasar hukum yaitu Peraturan BAPETEN No. 3 Tahun 2021 tentang Standar Kegiatan Usaha dan Standar Produk Pada Penyelenggaraan Perizinan Berusaha Berbasis Risiko Sektor Ketenaganukliran menjadi Peraturan BAPETEN No. 5 Tahun 2025 dan Penambahan Referensi PP No. 28 Tahun 2025 tentang Penyelenggaraan Perizinan Berusaha Berbasis Risiko di latar belakang dan dasar acuan
 • Penyesuaian dengan isi dan ketentuan yang terdapat di Peraturan BAPETEN No. 05 Tahun 2025 tentang Standar Kegiatan Usaha dan/atau Standar Produk/Jasa pada Penyelenggaraan Perizinan.
 e. Dokumen daerah kerja dan pengen-dalian area radiasi kedokteran nuklir :
 • Perbaikan referensi PP No. 64 Tahun 2000 menjadi PP No. 29 Tahun 2008
 • Menambahkan Peraturan Kepala Badan No 17 Tahun 2012 tentang Keselamatan Radiasi dalam Kedokteran Nuklir
 • Menghilangkan perka No. 03 Ta-hun 2013 tentang Nomor 3 Tahun 2013 tentang Keselamatan Radiasi Dalam Penggunaan Radioterapi pada halaman 8 dan Perba No. 04 Tahun 2020 tentang Keselamatan Radiasi - Pada Penggunaan Pe-sawat Sinar-X - Dalam Radiologi Diagnostik Dan Intervensional</t>
  </si>
  <si>
    <t>Rev1 PROGRAM PROTEKSI DAN KESELAMATAN RADIASI KN 2026</t>
  </si>
  <si>
    <t>Perlu Perbaikan dokumen/Rekaman :
 1. Perlu perbaikan dalam dokumen program proteksi radiasi :
 • Perbaikan referensi peraturan yaitu PP No. 5 Tahun 2021 menjadi PP No. 28 Tahun 2025
 • Perbaikan referensi peraturan yaitu Peraturan BAPETEN No. 3 Tahun 2021 dan Peraturan BAPETEN No. 1 Tahun 2022 menjadi Peraturan BAPETEN No. 5 Tahun 2025
 • Perbaikan Pada halaman 44 Peraturan Pemerintah Nomor 33 tahun 2007 menjadi PP 45 tahun 2023 tentang Keselamatan Radiasi Pengion Dan Keamanan Sumber Radioaktif,
 • Perbaikan data spesifikasi peralatan di dokumen program proteksi radi-asi (sesuaikan dengan data KTUN Izin)
 • Perbaikan pada definisi daerah pengendalian dengan menambahkan kriteria potensi penerimaan paparan radiasi pekerja pada halaman 40
 • Perbaikan nilai pembatas dosis untuk pekerja radiasi
 2. Perlu Perbaikan dalam laporan kajian keselamatan radiasi
 • Penambahan referensi PP No. 28 Tahun 2025
 • Perbaikan referensi peraturan yaitu Peraturan BAPETEN No. 3 Tahun 2021 dan Peraturan BAPETEN No. 1 Tahun 2022 menjadi Peraturan BAPETEN No. 5 Tahun 2025
 3. Prosedur pendamping pasien yang sesuai dengan ketentuan yang pada Peraturan BAPETEN Nomor 4 Tahun 2020 pasal 49 untuk memuat klausul sebagi berikut:
 • Pendamping pasien berusia minimal 18 tahun.
 • Pendamping pasien merupakan keluarga pasien bukan dari pekerja radiasi.
 • Jika pendamping pasien adalah wanita, dipastikan pendamping pasien tidak sedang atau diduga hamil.</t>
  </si>
  <si>
    <t>Perbaikan Dokumen dan Rekaman:
 1. Perbaikan dokumen program proteksi dan keselamatan radiasi :
 a. Memperbaiki referensi peraturan yang dijadikan acuan:
 • PP No. 3 Tahun 2021 telah diubah menjadi PP No. 28 Tahun 2025
 • Peraturan BAPETEN No. 3 Tahun 2021 dan Peraturan BAPETEN No. 1 Tahun 2022 telah di amendemen menjadi Peraturan BAPETEN No. 5 Tahun 2025;
 • Untuk Program Keamanan ZRA dilakukan acuan referensi Peraturan Kepala BAPETEN No. 15 Tahun 2015 telah di amandemen menjadi Peraturan BAPETEN No. 5 Tahun 2024 dan untuk dilakukan revisi dokumen sesuai ketentuan peraturan di atas.
 b. Penetapan pembatas dosis perlu dikaji ulang
 2. Perlu perbaikan dokumen SPO Prosedur Pendamping Pasien Peraturan BAPETEN Nomor 4 Tahun 2020 pasal 49 untuk memuat klausul sebagai berikut:
 • Pendamping pasien berusia minimal 18 tahun.
 • Pendamping pasien merupakan keluarga pasien bukan dari pekerja radiasi.
 • Jika pendamping pasien adalah wanita, dipastikan pendamping pasien tidak sedang atau diduga hamil.</t>
  </si>
  <si>
    <t>Dokumen program proteksi dan keselamatan radiasi terdapat bagian yang harus diperbaiki, yaitu: 
 - Belum melakukan kajian nilai pembatas dosis yang ditetapkan berdasarkan riwayat penerimaan dosis pekerja radiasi.</t>
  </si>
  <si>
    <t>Dokumen program proteksi dan keselamatan radiasi --&gt; sudah diperbaiki, yaitu: - sudah melakukan kajian nilai pembatas dosis yang ditetapkan berdasarkan riwayat penerimaan dosis pekerja radiasi.</t>
  </si>
  <si>
    <t>Dokumen program proteksi dan keselamatan radiasi terdapat bagian yang harus diperbaiki, yaitu: 
 - Belum mencantumkan periode pemantauan paparan radiasi</t>
  </si>
  <si>
    <t>-Pelaku Usaha agar melakukan perbaikan program proteksi dan keselamatan radiasi sesuai arahan tim Inspeksi.&lt;br /&gt;
 &lt;br /&gt;
 Unggah dokumen yang sudah diperbaiki tersebut melalui menu TLHI (Tindak Lanjut Hasil Inspeksi) di Sistem BALIS INFARA (https://balis-infara.bapeten.go.id) sebagai bukti tindak lanjut hasil inspeksi.&lt;br /&gt;
 &lt;br /&gt;
 &lt;br&gt;</t>
  </si>
  <si>
    <t>Dokumen program proteksi dan keselamatan radiasi terdapat bagian yang harus diperbaiki, yaitu: 
 - Pada SubBab 1.1, Dasar Hukum PP No. 33 Tahun 2007 diganti dengan PP 45 Tahun 2023.
 - Perka BAPETEN No. 16 Tahun 2014 diganti Perba No. 4 Tahun 2024.
 - Pencantuman Perka No. 07 Tahun 2020, Keputusan Kepala Badan Pengawas Tenaga Nuklir No. 05-P/Ka-BAPETEN/VII-00, Perka BAPETEN No. 8 Tahun 2016 agar dihapus, karena yang digunakan di fasilitas saat ini adalah Pembangkit Radiasi Pengion (PRP).
 - Belum menetapkan Pembatas Dosis pada fasilitas.</t>
  </si>
  <si>
    <t>-Pelaku Usaha agar melakukan perbaikan dokumen program proteksi dan keselamatan radiasi sesuai arahan tim Inspeksi.&lt;br /&gt;
 &lt;br /&gt;
 Unggah dokumen yang sudah diperbaiki tersebut melalui menu TLHI (Tindak Lanjut Hasil Inspeksi) di Sistem BALIS INFARA (https://balis-infara.bapeten.go.id) sebagai bukti tindak lanjut hasil inspeksi.&lt;br /&gt;
 &lt;br /&gt;
 &lt;br&gt;</t>
  </si>
  <si>
    <t>Merevisi Dokumen program proteksi dan keselamatan radiasi pada beberapa bagian berdasarkan peraturan terbaru.
 mencantumkan nilai pembatas dosis pada dokumen program proteksi dan keselamatan radiasi.</t>
  </si>
  <si>
    <t>- Dokumen program proteksi dan keselamatan belum dilengkapi dengan pembatas dosis dan kajian pelaksanaan pembatas dosis;
 - Rekaman pengukuran paparan radiasi belum dilengkapi dengan: titik pengukuran paparan radiasi, denah lengkap posisi pesawat sinar-X dan foto pengukuran paparan radiasi</t>
  </si>
  <si>
    <t>-Pelaku Usaha agar melakukan perbaikan dokumen dan rekaman tersebut sesuai arahan tim Inspeksi.&lt;br /&gt;
 &lt;br /&gt;
 Unggah dokumen yang sudah diperbaiki tersebut melalui menu TLHI (Tindak Lanjut Hasil Inspeksi) di Sistem BALIS INFARA (https://balis-infara.bapeten.go.id) sebagai bukti tindak lanjut hasil inspeksi.&lt;br /&gt;
 &lt;br /&gt;
 &lt;br&gt;</t>
  </si>
  <si>
    <t>Revisi Dokumen Progam Proteksi dan Keselamatan RadiasiLaporan pengecekan Paparan Radiasi (Monthly)</t>
  </si>
  <si>
    <t>Perlu perbaikan dokumen Program Proteksi dan Keselamatan Radiasi
 a. Penggunaan TLD mata untuk pesawat fluoroskopi dan intervensional belum ditambahkan.
 b. Data peralatan keselamatan radiasi berupa TLD lensa mata belum disesuaikan dengan kondisi terkini.</t>
  </si>
  <si>
    <t>Program proteksi sudah direvisi, jumlah alat TLD dan TLD mata sudah direvisi dan pernyataan pemakaian TLD mata pada pemeriksaan radiologi intervensional udah dimasukkan dalam proteksi.</t>
  </si>
  <si>
    <t>Perlu perbaikan dokumen Program Proteksi dan Keselamatan Radiasi
 a. Peraturan ketenaganukliran belum disesuaikan dengan peraturan terkini.
 b. Data peralatan analisis dan pengukuran disesuaikan dengan kondisi terkini.
 c. Data pekerja radiasi disesuaikan dengan kondisi terkini
 d. Nilai pembatas dosis belum ditetapkan oleh instansi</t>
  </si>
  <si>
    <t>PROGRAM PROTEKSI RADIASI 2026</t>
  </si>
  <si>
    <t>Perlu perbaikan dokumen Program Proteksi dan Keselamatan Radiasi
 a. Dasar acuan peraturan belum disesuaikan dengan peraturan yang terbaru.
 b. Pembatas dosis belum ditetapkan.</t>
  </si>
  <si>
    <t>Perlu perbaikan dokumen Program Proteksi dan Keselamatan Radiasi
 a. Dasar acuan peraturan belum disesuaikan dengan peraturan yang terbaru.
 b. Struktur organisasi agar disesuaikan dengan kondisi terkini.
 c. Penentuan nilai Pembatas Dosis diperlukan kaji ulang berdasarkan data dosis radiasi pekerja radiasi.</t>
  </si>
  <si>
    <t>Program Proteksi dan Keselamatan Radiasi 2026</t>
  </si>
  <si>
    <t>Perlu perbaikan dokumen Program Proteksi dan Keselamatan Radiasi
 a. Peraturan ketenaganukliran belum disesuaikan dengan peraturan terkini.
 b. Data pekerja radiasi disesuaikan dengan kondisi terkini
 c. Nilai pembatas dosis belum ditetapkan oleh instansi</t>
  </si>
  <si>
    <t>-Memperbarui dokumen Program Proteksi dan Keselamatan Radiasi sesuai dengan masukan yang sudah diberikan oleh Tim Inspektur.&lt;br /&gt;
 &lt;br /&gt;
 Untuk menutup temuan, unggah dokumen Program Proteksi dan Keselamatan Radiasi terbaru melalui menu TLHI pada sistem Balis Infara 2.0 https://balis-infara.bapeten.go.id/ sebagai bukti tindak lanjut hasil inspeksi.&lt;br /&gt;
 &lt;br&gt;</t>
  </si>
  <si>
    <t>sudah di rubah untuk peraturan dan isi ambang batas</t>
  </si>
  <si>
    <t>-Memperbarui dokumen Program Proteksi dan Keselamatan Radiasi sesuai dengan masukan yang sudah dberikan oleh Tim Inspektur. Untuk menutup temuan, unggah dokumen Program Proteksi dan Keselamatan Radiasi terbaru melalui menu TLHI pada sistem Balis Infara 2.0 https://balisinfara.bapeten.go.id/ sebagai bukti tindak lanjut hasil inspeksi. &lt;br&gt;-Memperbarui dokumen Program Proteksi dan Keselamatan Radiasi sesuai dengan masukan yang sudah dberikan oleh Tim Inspektur.&lt;br /&gt;
 &lt;br /&gt;
 Untuk menutup temuan, unggah dokumen Program Proteksi dan Keselamatan Radiasi terbaru melalui menu TLHI pada sistem Balis Infara 2.0 https://balis-infara.bapeten.go.id/ sebagai bukti tindak lanjut hasil inspeksi.&lt;br /&gt;
 &lt;br&gt;</t>
  </si>
  <si>
    <t>perubahan perundang undangan dan ambang batas</t>
  </si>
  <si>
    <t>Perlu perbaikan dokumen Program Proteksi dan Keselamatan Radiasi:
 a. Peraturan ketenaganukliran belum disesuaikan dengan peraturan terkini. 
 b. Nilai pembatas dosis perlu dikaji ulang disesuaikan dengan data dosis yang selama ini sudah diterima.</t>
  </si>
  <si>
    <t>perbaikan halaman, batas dosis dan penambahan regulasi terbaru</t>
  </si>
  <si>
    <t>a. Pembaruan Prosedur penyinaran x-ray untuk anak-anak kurang menjelaskan penggunaan apron bagi pendamping pasien
 b. Tabel eksposi untuk pesawat sinar-x Toshiba (RF) belum dilengkapi dengan kondisi pasien (misal: anak-anak, dewasa, gemuk, kurus) 
 c. Pembaruan dokumen Program Proteksi dan Keselamatan Radiasi:
  1. Peraturan berkaitan dengan ketenaganukliran belum disesuaikan dengan peraturan terbaru. 
  2. Data pekerja radiasi belum disesuaikan dengan kondisi terkini. 
  3. Nilai Pembatas Dosis belum ditetapkan.</t>
  </si>
  <si>
    <t>- Dokumen Program Proteksi dan Keselamatan Radiasi: pembatas dosis belum dikaji ulang secara berkala, masih menggunakan satuan mRem
 - Dokumen Program Keamanan Sumber Radioaktif: terdapat acuan peraturan yang belum up to date, terdapat penjelasan program yang kurang sesuai dengan kondisi lapangan</t>
  </si>
  <si>
    <t>Dokumen program proteksi nomor: OT.02.02/1.4.10/71 rev 2 belum dimutakhirkan mengenai:
 - Peraturan perundang-undangan yang diacu (terdapat beberapa peraturan yang sudah tidak berlaku)
 - Daftar personel
 - Daftar prosedur radioterapi (saat ini hanya mencantumkan prosedur terkait Brakhiterapi)</t>
  </si>
  <si>
    <t>-Pelaku Usaha agar memperbaiki dokumen program proteksi sesuai kondisi terkini.&lt;br /&gt;
 &lt;br /&gt;
 Untuk menutup temuan tersebut, unggah bukti dokumen program proteksi yang telah dimutakhirkan melalui menu TLHI (Tindak Lanjut Hasil Inspeksi) di Sistem Balis Infara (https://balis-infara.bapeten.go.id) sebagai bukti tindak lanjut hasil inspeksi.&lt;br&gt;</t>
  </si>
  <si>
    <t>PT. Gamma Mitra Lestari</t>
  </si>
  <si>
    <t>Bintaro Business Centre, Jl. RC Veteran I-i, Kel. Bintaro, Kec. Pesanggrahan</t>
  </si>
  <si>
    <t>Bintaro Business Centre, Jl. RC Veteran I-i, Kel. Bintaro, Kec. Pesanggrahan,Jakarta Selatan,DKI Jakarta</t>
  </si>
  <si>
    <t>00192.01.07379.15.1.0726</t>
  </si>
  <si>
    <t>Dokumen program proteksi dan keselamatan radiasi belum dilengkapi dengan peraturan perundang-undangan yang diacu.</t>
  </si>
  <si>
    <t>-Pelaku Usaha agar memutakhirkan dokumen program proteksi dan keselamatan radiasi&lt;br /&gt;
 &lt;br /&gt;
 Untuk menutup temuan tersebut, unggah bukti dokumen program proteksi yang telah dimutakhirkan melalui menu TLHI (Tindak Lanjut Hasil Inspeksi) di Sistem Balis Infara (https://balis-infara.bapeten.go.id) sebagai bukti tindak lanjut hasil inspeksi.&lt;br&gt;</t>
  </si>
  <si>
    <t>program proteksi update</t>
  </si>
  <si>
    <t>Mega Global Pratama</t>
  </si>
  <si>
    <t>Jl. Cengkeh 16/11, RT/RW 007/007, Pinangsia, Taman Sari</t>
  </si>
  <si>
    <t>Jl. Cengkeh 16/11, RT/RW 007/007, Pinangsia, Taman Sari,Jakarta Barat,DKI Jakarta</t>
  </si>
  <si>
    <t>00191.01.16990.14.1.0726</t>
  </si>
  <si>
    <t>Belum memutakhirkan dokumen program proteksi mengenai:
 - peraturan perundang-undangan yang diacu, yaitu masih menggunakan PP 29/2008.
 - penggunaan peralatan pemantau dosis perorangan, yaitu mencantumkan TLD badge (seharusnya OSL badge)</t>
  </si>
  <si>
    <t>-Pelaku Usaha agar memperbaiki dokumen Program Proteksi sesuai informasi/kondisi terkini.&lt;br /&gt;
 &lt;br /&gt;
 Untuk menutup temuan tersebut, unggah bukti dokumen program proteksi yang telah dimutakhirkan melalui menu TLHI (Tindak Lanjut Hasil Inspeksi) di Sistem Balis Infara (https://balis-infara.bapeten.go.id) sebagai bukti tindak lanjut hasil inspeksi.&lt;br&gt;</t>
  </si>
  <si>
    <t>dokumen program proteksi yang telah dimutakhirkan</t>
  </si>
  <si>
    <t>Dokumen program proteksi dan keselamatan radiasi belum dilakukan pemutakhiran pada bagian: 
 - Peraturan perundang-undangan yang diacu 
 - Deskripsi fasilitas (karena dilakukan pemindahan ruangan)</t>
  </si>
  <si>
    <t>-Pelaku Usaha agar memutakhirkan dokumen program proteksi dan keselamatan radiasi sesuai kondisi terkini.&lt;br /&gt;
 &lt;br /&gt;
 Untuk menutup temuan tersebut, unggah bukti dokumen program proteksi yang telah dimutakhirkan melalui menu TLHI (Tindak Lanjut Hasil Inspeksi) di Sistem Balis Infara (https://balis-infara.bapeten.go.id) sebagai bukti tindak lanjut hasil inspeksi.&lt;br&gt;</t>
  </si>
  <si>
    <t>revisi program proteksi radiasi sudah dibuat</t>
  </si>
  <si>
    <t>1. Perlu melakukan perbaikan Dokumen Teknis Fasilitas Radiasi terkait perhitungan ketebalan tutup bunker.
 2. Perlu melakukan perbaikan Program Proteksi dan Keselamatan Radiasi, sebagai berikut:
 a. Bab I. Menghapus Peraturan Pemerintah 29/2008
 b. Bab I. Penambahan referensi PP No. 58/ 2015, Peraturan BAPETEN No. 8/2014
 c. Bab I. Poin Definisi belum dicantumkan.
 d. Bab III. Data Personil belum dicantumkan.
 e. Bab IV. Belum mencantumkan gambar/foto perlengkapan proteksi radiasi.
 f. Bab VII. Perbaikan pelaksanaan pemantauan Kesehatan sesuai dengan peraturan BAPETEN No.6 Tahun 2010.
 g. Bab X. Perlu memberikan keterangan tambahan terkait NBD 50 mSv, di mana ini hanya boleh dicapai dalam kurun waktu 5 tahun sekali.
 h. Bab XI. Perlu menambahkan gambar Teknik bangunan dan boompit penyimpanan sumber.
 i. Perbaikan nomor kedaruratan BAPETEN.
 j. Perlu melakukan perbaikan Judul, dan penulisan/ salah ketik yang ada di dokumen.
 k. Perlu menambahkan Nomor Dokumen.
 3. Perlu perbaikan dokumen program keamanan sumber radioaktif
 a. Bab I. Poin Dasar Hukum belum dicantumkan.
 b. Bab I. Poin Definisi belum dicantumkan.
 c. Bab II. Data Personil belum dicantumkan.
 d. Bab III. Perlu menambahkan nomor Polisi Sektor Medan.
 e. Bab III. Perlu menambahkan gambar Teknik bangunan dan boompit penyimpanan sumber.
 f. Bab III. Belum mencantumkan gambar/foto perlengkapan proteksi radiasi.
 g. Bab VII. Perbaikan nomor kedaruratan BAPETEN.
 h. Perlu melakukan perbaikan dan penulisan/salah ketik yang ada di dokumen.
 i. Perlu menambahkan Nomor Dokumen.</t>
  </si>
  <si>
    <t>Dokumen Teknis Fasilitas Bangunan</t>
  </si>
  <si>
    <t>1. Perlu melakukan perbaikan Program Proteksi dan Keselamatan Radiasi, sebagai berikut:
 a. Bab I. Menghapus Peraturan Pemerintah 29/2008
 b. Bab I. Perbaikan urutan penulisan peraturan perundang-undangan di Dasar Hukum
 c. Bab I. Definisi diisi dengan sesuai dengan yang tertulis di peraturan terbaru.
 d. Bab VI. Perbaikan definisi Daerah Pengendalian dan Supervisi
 e. Bab VII. Perbaikan pelaksanaan pemantauan Kesehatan sesuai dengan peraturan BAPETEN No.6 Tahun 2010.
 f. Dokumentasi Pelatihan PEersonil belum tersedia
 g. Bab X. Perlu memberikan keterangan tambahan terkait NBD 50 mSv, di mana ini hanya boleh dicapai dalam kurun waktu 5 tahun sekali 
 h. Bab X. Perlu melakukan kaji ulang nilai pembatas dosis/ dose constraint.
 i. Bab XI. Perlu memperbaiki dan menambahkan gambar Teknik bangunan dan boompit penyimpanan sumber.
 j. Perlu melakukan perbaikan penulisan/ salah ketik yang ada di dokumen.
 2. Perlu perbaikan dokumen program keamanan sumber radioaktif
 a. Bab I. Menghapus Peraturan Pemerintah 29/2008
 b. Bab I. Perbaikan urutan penulisan peraturan perundang-undangan di Dasar Hukum
 c. Bab I. Definisi diisi dengan sesuai dengan yang tertulis di peraturan terbaru.
 d. Bab XI. Perlu memperbaiki dan menambahkan gambar Teknik bangunan dan boompit penyimpanan sumber.
 e. Perlu melakukan perbaikan penulisan/ salah ketik yang ada di dokumen</t>
  </si>
  <si>
    <t>Perbaikan dokumen program keamanan zat radioaktif dan Program Proteksi dan Keselamatan Radiasi</t>
  </si>
  <si>
    <t>1. Perlu melakukan perbaikan Program Proteksi dan Keselamatan Radiasi, sebagai berikut:
 c. PP 29/2008 diganti PP 28/2025.
 d. PP 33/2007 diganti PP 45/2023.
 e. PP 26/2002, PP 27/2002 dan Perba No. 6/2009 dihapus.
 f. Definisi disesuaikan dengan 
 tertulis dalam PP 45/2023 berdasarkan jenis pemanfaatan.
 g. Nomeklatur Gauging agar diganti dengan Analisis.
 h. Spesifikasi Teknis Peralatan agar diupdate sesuai yang tercantum dalam izin.
 i. Menetapkan Nilai Pembatas Dosis untuk Pekerja Radiasi dan Masyarakat Umum.
 j. Perlu mencantumkan nomor kedaruratan.
 2. Perlu dilakukan perbaikan terhadap logbook operasi alat, dengan menambahkan pengukuran paparan radiasi di permukaan, faktor kalibrasi alat ukur radiasi</t>
  </si>
  <si>
    <t>Poin c sampai dengan j sudah dilakukan perbaikan pada dokumen Program Proteksi dan Keselamatan Radiasi. 
 Poin (c), (d) dan (e) telah dicantumkan dan/atau dihapus seperti yang tertera pada hal.1 Sub Bab "Dasar Hukum". Point (f) sudah disesuaikan, tercantum di hal.2 Sub Bab "Definisi" . Poin (g), Nomenklatur yang sebelumnya Gauging, sudah diganti ke Analisis. Poin (h), spesifikasi teknis peralatan sudah diupdate, termasuk No Seri tabung yang sebelumnya tidak disebutkan, perbaikan tercantum di hal.2 Sub Bab "Deskripsi Peralatan X-Ray Flouresence (XRF)." Poin (i) sudah ditambahkan di hal.12 dan poin (j) juga sudah dicantumkan nomor kedaruratan (hal.19).LogBook Pengoperasian Alat sudah dilakukan perbaikan dengan menambahkan kolom untuk pengukuran paparan radiasi di permukaan dan faktor kalibrasi alat ukur radiasi</t>
  </si>
  <si>
    <t>Belum pernah melakukan pelatihan bagi pekerja radiasi terkait pelaksanaan proteksi radiasi.</t>
  </si>
  <si>
    <t>-Pelaku usaha agar melakukan pelatihan untuk pekerja radiasi serta membuat dokumentasi berupa foto, materi pelatihan dan daftar hadir.&lt;br /&gt;
 &lt;br /&gt;
 Untuk menutup temuan, unggah bukti tindak lanjut berupa dokumentasi pelatihan pelaksanaan proteksi radiasi melalui menu TLHI (Tindak Lanjut Hasil Inspeksi) di Sistem Balis Infara (https://balis-infara.bapeten.go.id) sebagai bukti tindak lanjut hasil inspeksi.&lt;br&gt;</t>
  </si>
  <si>
    <t>sudah melakukan pelatihan kepada petugas operator xray</t>
  </si>
  <si>
    <t>Dalam Dokumen Program Proteksi terdapat beberapa temuan:
 • Peraturan yang digunakan sebagai Dasar Hukum penyusunan Dokumen Program Proteksi perlu dilakukan pemutakhiran;
 • Tidak diperlukan detil pelatihan yang telah diikuti, namun program pelatihan yang rutin dilaksanakan;
 • Perlu dilakukan evaluasi kembali Nilai Pembatas Dosis yang ditetapkan.</t>
  </si>
  <si>
    <t>-PT. Enseval Medika Prima segera merevisi Dokumen Program Proteksi dengan melakukan pemutakhiran dasar hukum yang digunakan, pemutakhiran pada bagian pelatihan, dan evaluasi terhadap Nilai Pembatas Dosis yang ditetapkan.&lt;br /&gt;
 &lt;br /&gt;
 Untuk menutup temuan, unggah revisi Dokumen Program Proteksi tersebut pada menu TLHI (Tindak Lanjut Hasil Inspeksi) Balis Infara (https://balis-infara.bapeten.go.id) sebagai bukti tindak lanjut hasil inspeksi.&lt;br&gt;</t>
  </si>
  <si>
    <t>PT. Enseval Medika Prima telah melakukan revisi Dokumen Program Proteksi sebagai tindak lanjut atas hasil inspeksi dan rekomendasi BAPETEN. Revisi Dokumen Program Proteksi meliputi pemutakhiran dasar hukum yang digunakan, pemutakhiran bagian program pelatihan, serta evaluasi terhadap Nilai Pembatas Dosis yang ditetapkan. Dokumen Program Proteksi hasil revisi terlampir sebagai data dukung tindak lanjut dan diunggah pada Sistem Balis.</t>
  </si>
  <si>
    <t>Dalam Dokumen Program Proteksi terdapat beberapa temuan:
 • Peraturan yang digunakan sebagai Dasar Hukum penyusunan Dokumen Program Proteksi perlu dilakukan pemutakhiran;
 • Perlu dilakukan evaluasi kembali Nilai Pembatas Dosis yang ditetapkan.</t>
  </si>
  <si>
    <t>-PT Giandra Mitra Solusi segera merevisi Dokumen Program Proteksi dengan melakukan pemutakhiran dasar hukum yang digunakan, dan evaluasi terhadap Nilai Pembatas Dosis yang ditetapkan.&lt;br /&gt;
 &lt;br /&gt;
 Untuk menutup temuan, unggah revisi Dokumen Program Proteksi tersebut pada menu TLHI (Tindak Lanjut Hasil Inspeksi) Balis Infara (https://balis-infara.bapeten.go.id) sebagai bukti tindak lanjut hasil inspeksi.&lt;br /&gt;
 &lt;br&gt;</t>
  </si>
  <si>
    <t>Dalam Dokumen Program Proteksi terdapat beberapa temuan:
 • Peraturan yang digunakan sebagai Dasar Hukum penyusunan Dokumen Program Proteksi perlu dilakukan pemutakhiran;
 • Perlu dilakukan evaluasi kembali Nilai Pembatas Dosis yang ditetapkan;
 • Perlu penyesuaian Satuan sesuai standar internasional (Sievert) dalam dokumen tersebut;
 • Terdapat pernyataan dilakukan uji kebocoran setiap 2 tahun sekali dalam Dokumen Program Proteksi yang tidak dilaksanakan.</t>
  </si>
  <si>
    <t>-PT. KMI Wire and Cable, Tbk. segera merevisi Dokumen Program Proteksi dengan melakukan pemutakhiran dasar hukum yang digunakan, evaluasi terhadap Nilai Pembatas Dosis yang ditetapkan, penyesuaian Satuan, dan pelaksanaan uji kebocoran.&lt;br /&gt;
 &lt;br /&gt;
 Untuk menutup temuan, unggah revisi Dokumen Program Proteksi tersebut pada menu TLHI (Tindak Lanjut Hasil Inspeksi) Balis Infara (https://balis-infara.bapeten.go.id) sebagai bukti tindak lanjut hasil inspeksi.&lt;br /&gt;
 &lt;br&gt;</t>
  </si>
  <si>
    <t>Endress+Hauser Indonesia</t>
  </si>
  <si>
    <t>Gedung Tempo Scan Tower Lantai 29 dan B2 Jl. H.R. Rasuna Said Kav. 3-4, Desa/Kelurahan Kuningan Timur, Kec. Setiabudi</t>
  </si>
  <si>
    <t>Gedung Tempo Scan Tower Lantai 29 dan B2 Jl. H.R. Rasuna Said Kav. 3-4, Desa/Kelurahan Kuningan Timur, Kec. Setiabudi,Jakarta Selatan,DKI Jakarta</t>
  </si>
  <si>
    <t>00199.01.08932.15.1.0726</t>
  </si>
  <si>
    <t>Halaman pengesahan pada Dokumen seperti: Program Proteksi, Program Keamanan ZRA, Kajian Keamanan ZRA, Rencana Keamanan ZRA, dan lain-lainnya belum dilengkapi tanggal pengesahan.</t>
  </si>
  <si>
    <t>-PT. Endress+Hauser Indonesia segera melakukan revisi Dokumen tersebut.&lt;br /&gt;
 &lt;br /&gt;
 Untuk menutup temuan, unggah revisi Dokumen tersebut pada menu TLHI (Tindak Lanjut Hasil Inspeksi) Balis Infara (https://balis-infara.bapeten.go.id) sebagai bukti tindak lanjut hasil inspeksi.&lt;br /&gt;
 &lt;br&gt;</t>
  </si>
  <si>
    <t>Halaman pengesahan pada dokumen-dokumen berikut: 1. Rencana Teknis Fasilitas Bangunan Penahan Radiasi; 2. Kajian Keselamatan Radiasi; 3. Program Proteksi dan Keselamatan Radiasi; 4. Program Proteksi dan Keselamatan Radiasi - Pengangkutan; 5. Kajian Keamanan ZRA; 6. Program Keamanan ZRA; 7. Rencana Keamanan ZRA, telah dilengkapi dengan tanggal pengesahan.</t>
  </si>
  <si>
    <t>Terdapat beberapa kesalahan penulisan, belum dilakukan pemutakhiran dasar hukum, dan penetapan Nilai Pembatas Dosis personil per tahun dalam Dokumen Program Proteksi dan keselamatan radiasi.</t>
  </si>
  <si>
    <t>-UOB Property telah menyusun Dokumen Program Proteksi, namun terdapat kesalahan penulisan, perlu pemutakhiran dasar hukum yang digunakan, dan penetapan nilai pembatas dosis personil per tahun.&lt;br /&gt;
 &lt;br /&gt;
 Untuk menutup temuan, unggah bukti revisi Dokumen Program Proteksi tersebut pada menu TLHI (Tindak Lanjut Hasil Inspeksi) Balis Infara (https://balis-infara.bapeten.go.id) sebagai bukti tindak lanjut hasil inspeksi.&lt;br /&gt;
 &lt;br&gt;</t>
  </si>
  <si>
    <t>1. Perbaikan SOP pendamping pasien, menambahkan keterangan umur pendamping pasien
 2. perbaikan dokumen program proteksi radiasi tekait, data perlengkapan proteksi dan nilai pembatas dosis sekarang masih di tetapkan 10 mSv</t>
  </si>
  <si>
    <t>SOP Prosedur Proteksi Radiasi Pendampingan Pasien terbaru RS UIN Sarif Hidayatullah Jakarta</t>
  </si>
  <si>
    <t>1. Perbaikan dokumen program proteksi radiasi tekait, nilai pembatasdosis sekarangmasih ditetapkan18mSv
 2. Belum dilakukan Pelatihan Personil.
 3. Belum melakukan uji kebocoran zat radioaktif. Uji Kebocoran terakhir dilakukan tahun 2022.</t>
  </si>
  <si>
    <t>-Pelaku usaha agar melakukan :&lt;br /&gt;
 1. Uji kebocoran zat radioaktif.&lt;br /&gt;
 2. Pelatihan Personil.&lt;br /&gt;
 3. perbaikan dokumen program proteksi yaitu kaji ulang pembatas dosis &lt;br /&gt;
 &lt;br /&gt;
 Untuk menutup temuan unggah dokumen melalui menu TLHI (Tindak Lanjut Hasil Inspeksi) di Sistem Balis Infara (https://balis-infara.bapeten.go.id) sebagai bukti tindak lanjut hasil inspeksi berupa:&lt;br /&gt;
 1. SertifikatUji kebocoran zat radioaktif.&lt;br /&gt;
 2. Rekaman Pelatihan Personil seperti Daftar Hadir, Foto Kegiatan, Materi Pelatihan.&lt;br /&gt;
 3. Dokumen program proteksi yang telah dilakukan kaji ulang pembatas dosis &lt;br&gt;</t>
  </si>
  <si>
    <t>Perlu perbaikan dokumen program proteksi radisi: 
 a. Daftar kontak kedaruratan 
 b. Lembar pengesahan bagian nama penyiap dokumen 
 c. Data pekerja radaiasi 
 d. Kaji ulang pembatas dosis untuk pekerja radiasi, saat ini dalam dokumen ditentukan 10 mSv</t>
  </si>
  <si>
    <t>-Pelaku usaha agar memperbaiki dokumen program proteksi radiasi.&lt;br /&gt;
 &lt;br /&gt;
 Untuk menutup temuan unggah dokumen program proteksi radiasi yang telah diperbaiki, melalui menu TLHI (Tindak Lanjut Hasil Inspeksi) di Sistem Balis Infara (https://balis-infara.bapeten.go.id) sebagai bukti tindak lanjut hasil inspeksi.&lt;br&gt;</t>
  </si>
  <si>
    <t>Perbaikan dokumen program proteksi radisi dengan penambahan:
 a. Daftar kontak kedaruratan
 b. Lembar pengesahan bagian nama penyiap dokumen
 c. Data pekerja radaiasi
 d. Kaji ulang pembatas dosis untuk pekerja radiasi, saat ini dalam dokumen ditentukan 10 mSv</t>
  </si>
  <si>
    <t>Perlu perbaikan dokumen program proteksi radisi: 
 - Kaji ulang pembatas dosis untuk pekerja radiasi saat ini dalam dokumen ditentukan 10 mSv/tahun</t>
  </si>
  <si>
    <t>Dokumen program proteksi radiasi yang telah diperbaiki, perbaikan dapat dilihat pada halaman 33 yang sudah ditandai whighlight warna kuning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</si>
</sst>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color theme="1"/>
      <name val="Arial"/>
      <scheme val="minor"/>
    </font>
    <font>
      <sz val="11.0"/>
      <color rgb="FF000000"/>
      <name val="Calibri"/>
    </font>
    <font>
      <sz val="11.0"/>
      <color theme="1"/>
      <name val="Calibri"/>
    </font>
  </fonts>
  <fills count="4">
    <fill>
      <patternFill patternType="none"/>
    </fill>
    <fill>
      <patternFill patternType="lightGray"/>
    </fill>
    <fill>
      <patternFill patternType="solid">
        <fgColor rgb="FFFF0000"/>
        <bgColor rgb="FFFF0000"/>
      </patternFill>
    </fill>
    <fill>
      <patternFill patternType="solid">
        <fgColor rgb="FF8DB4E3"/>
        <bgColor rgb="FF8DB4E3"/>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top" wrapText="1"/>
    </xf>
    <xf borderId="0" fillId="0" fontId="1" numFmtId="0" xfId="0" applyAlignment="1" applyFont="1">
      <alignment vertical="center"/>
    </xf>
    <xf borderId="0" fillId="0" fontId="1" numFmtId="0" xfId="0" applyAlignment="1" applyFont="1">
      <alignment readingOrder="0" shrinkToFit="0" vertical="center" wrapText="0"/>
    </xf>
    <xf borderId="0" fillId="2" fontId="1" numFmtId="0" xfId="0" applyAlignment="1" applyFill="1" applyFont="1">
      <alignment readingOrder="0" shrinkToFit="0" vertical="center" wrapText="0"/>
    </xf>
    <xf borderId="0" fillId="0" fontId="2" numFmtId="0" xfId="0" applyAlignment="1" applyFont="1">
      <alignment readingOrder="0" shrinkToFit="0" vertical="center" wrapText="0"/>
    </xf>
    <xf borderId="0" fillId="2" fontId="2" numFmtId="0" xfId="0" applyAlignment="1" applyFill="1" applyFont="1">
      <alignment readingOrder="0" shrinkToFit="0" vertical="center" wrapText="0"/>
    </xf>
    <xf borderId="0" fillId="0" fontId="1" numFmtId="0" xfId="0" applyAlignment="1" applyFont="1">
      <alignment shrinkToFit="0" vertical="center" wrapText="0"/>
    </xf>
    <xf borderId="0" fillId="2" fontId="1" numFmtId="0" xfId="0" applyAlignment="1" applyFill="1" applyFont="1">
      <alignment shrinkToFit="0" vertical="center" wrapText="0"/>
    </xf>
    <xf borderId="0" fillId="0" fontId="1" numFmtId="0" xfId="0" applyAlignment="1" applyFont="1">
      <alignment shrinkToFit="0" vertical="center" wrapText="0"/>
    </xf>
    <xf borderId="0" fillId="3" fontId="3" numFmtId="0" xfId="0" applyAlignment="1" applyFill="1" applyFont="1">
      <alignment vertical="bottom"/>
    </xf>
    <xf borderId="0" fillId="3" fontId="3" numFmtId="49" xfId="0" applyAlignment="1" applyFill="1" applyFont="1" applyNumberFormat="1">
      <alignment vertical="bottom"/>
    </xf>
    <xf borderId="0" fillId="0" fontId="3" numFmtId="0" xfId="0" applyAlignment="1" applyFont="1">
      <alignment horizontal="right" vertical="bottom"/>
    </xf>
    <xf borderId="0" fillId="0" fontId="3" numFmtId="0" xfId="0" applyAlignment="1" applyFont="1">
      <alignment vertical="bottom"/>
    </xf>
    <xf borderId="0" fillId="0" fontId="3" numFmtId="49" xfId="0" applyAlignment="1" applyFont="1" applyNumberFormat="1">
      <alignment vertical="bottom"/>
    </xf>
    <xf borderId="0" fillId="0" fontId="3" numFmtId="164" xfId="0" applyAlignment="1" applyFont="1" applyNumberFormat="1">
      <alignment horizontal="right" vertical="bottom"/>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fix_data-style">
      <tableStyleElement dxfId="1" type="headerRow"/>
      <tableStyleElement dxfId="2" type="firstRowStripe"/>
      <tableStyleElement dxfId="3" type="secondRowStripe"/>
      <tableStyleElement dxfId="4" size="0" type="wholeTable"/>
    </tableStyle>
    <tableStyle count="4" pivot="0" name="clean_dat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40" displayName="Table1" name="Table1" id="1">
  <tableColumns count="9">
    <tableColumn name="No." id="1"/>
    <tableColumn name="Provinsi" id="2"/>
    <tableColumn name="Jumlah PRP" id="3"/>
    <tableColumn name="Jumlah ZRA" id="4"/>
    <tableColumn name="Total SRP" id="5"/>
    <tableColumn name="Jumlah Inspeksi per 4 tahun" id="6"/>
    <tableColumn name="Jumlah Temuan Kategori I" id="7"/>
    <tableColumn name="Jumlah Temuan Kategori II" id="8"/>
    <tableColumn name="Jumlah Temuan Kategori III" id="9"/>
  </tableColumns>
  <tableStyleInfo name="fix_data-style" showColumnStripes="0" showFirstColumn="1" showLastColumn="1" showRowStripes="1"/>
</table>
</file>

<file path=xl/tables/table2.xml><?xml version="1.0" encoding="utf-8"?>
<table xmlns="http://schemas.openxmlformats.org/spreadsheetml/2006/main" ref="A1:I39" displayName="Table2" name="Table2" id="2">
  <tableColumns count="9">
    <tableColumn name="No." id="1"/>
    <tableColumn name="Provinsi" id="2"/>
    <tableColumn name="Jumlah PRP" id="3"/>
    <tableColumn name="Jumlah ZRA" id="4"/>
    <tableColumn name="Total SRP" id="5"/>
    <tableColumn name="Jumlah Inspeksi per 4 tahun" id="6"/>
    <tableColumn name="Jumlah Temuan Kategori I" id="7"/>
    <tableColumn name="Jumlah Temuan Kategori II" id="8"/>
    <tableColumn name="Jumlah Temuan Kategori III" id="9"/>
  </tableColumns>
  <tableStyleInfo name="clean_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88"/>
    <col customWidth="1" min="2" max="2" width="23.25"/>
    <col customWidth="1" min="3" max="3" width="18.38"/>
    <col customWidth="1" min="4" max="4" width="17.63"/>
    <col customWidth="1" min="5" max="5" width="13.63"/>
    <col customWidth="1" min="6" max="6" width="28.38"/>
    <col customWidth="1" min="7" max="7" width="30.38"/>
    <col customWidth="1" min="8" max="8" width="28.0"/>
    <col customWidth="1" min="9" max="9" width="34.5"/>
  </cols>
  <sheetData>
    <row r="1" ht="22.5" customHeight="1">
      <c r="A1" s="1" t="s">
        <v>0</v>
      </c>
      <c r="B1" s="1" t="s">
        <v>1</v>
      </c>
      <c r="C1" s="1" t="s">
        <v>2</v>
      </c>
      <c r="D1" s="1" t="s">
        <v>3</v>
      </c>
      <c r="E1" s="1" t="s">
        <v>4</v>
      </c>
      <c r="F1" s="1" t="s">
        <v>5</v>
      </c>
      <c r="G1" s="1" t="s">
        <v>6</v>
      </c>
      <c r="H1" s="1" t="s">
        <v>7</v>
      </c>
      <c r="I1" s="1" t="s">
        <v>8</v>
      </c>
      <c r="J1" s="3"/>
      <c r="K1" s="3"/>
      <c r="L1" s="3"/>
      <c r="M1" s="3"/>
      <c r="N1" s="3"/>
      <c r="O1" s="3"/>
      <c r="P1" s="3"/>
      <c r="Q1" s="3"/>
      <c r="R1" s="3"/>
      <c r="S1" s="3"/>
      <c r="T1" s="3"/>
      <c r="U1" s="3"/>
      <c r="V1" s="3"/>
      <c r="W1" s="3"/>
      <c r="X1" s="3"/>
      <c r="Y1" s="3"/>
      <c r="Z1" s="3"/>
    </row>
    <row r="2" ht="22.5" customHeight="1">
      <c r="A2" s="5">
        <v>0.0</v>
      </c>
      <c r="B2" s="7" t="s">
        <v>10</v>
      </c>
      <c r="C2" s="5">
        <v>0.0</v>
      </c>
      <c r="D2" s="5">
        <v>0.0</v>
      </c>
      <c r="E2" s="9">
        <v>0.0</v>
      </c>
      <c r="F2" s="9">
        <v>0.0</v>
      </c>
      <c r="G2" s="9">
        <v>0.0</v>
      </c>
      <c r="H2" s="9">
        <v>0.0</v>
      </c>
      <c r="I2" s="9">
        <v>0.0</v>
      </c>
    </row>
    <row r="3" ht="22.5" customHeight="1">
      <c r="A3" s="4">
        <v>1.0</v>
      </c>
      <c r="B3" s="6" t="s">
        <v>9</v>
      </c>
      <c r="C3" s="8">
        <v>202.0</v>
      </c>
      <c r="D3" s="8">
        <v>123.0</v>
      </c>
      <c r="E3" s="10">
        <v>325.0</v>
      </c>
      <c r="F3" s="10">
        <v>4.0</v>
      </c>
      <c r="G3" s="10">
        <v>0.0</v>
      </c>
      <c r="H3" s="10">
        <v>0.0</v>
      </c>
      <c r="I3" s="10">
        <v>0.0</v>
      </c>
    </row>
    <row r="4" ht="22.5" customHeight="1">
      <c r="A4" s="4">
        <v>2.0</v>
      </c>
      <c r="B4" s="6" t="s">
        <v>11</v>
      </c>
      <c r="C4" s="8">
        <v>278.0</v>
      </c>
      <c r="D4" s="8">
        <v>199.0</v>
      </c>
      <c r="E4" s="10">
        <v>477.0</v>
      </c>
      <c r="F4" s="10">
        <v>13.0</v>
      </c>
      <c r="G4" s="10">
        <v>4.0</v>
      </c>
      <c r="H4" s="10">
        <v>10.0</v>
      </c>
      <c r="I4" s="10">
        <v>14.0</v>
      </c>
    </row>
    <row r="5" ht="22.5" customHeight="1">
      <c r="A5" s="4">
        <v>3.0</v>
      </c>
      <c r="B5" s="6" t="s">
        <v>12</v>
      </c>
      <c r="C5" s="8">
        <v>243.0</v>
      </c>
      <c r="D5" s="8">
        <v>164.0</v>
      </c>
      <c r="E5" s="10">
        <v>407.0</v>
      </c>
      <c r="F5" s="10">
        <v>8.0</v>
      </c>
      <c r="G5" s="10">
        <v>9.0</v>
      </c>
      <c r="H5" s="10">
        <v>22.0</v>
      </c>
      <c r="I5" s="10">
        <v>28.0</v>
      </c>
    </row>
    <row r="6" ht="22.5" customHeight="1">
      <c r="A6" s="4">
        <v>4.0</v>
      </c>
      <c r="B6" s="6" t="s">
        <v>13</v>
      </c>
      <c r="C6" s="8">
        <v>222.0</v>
      </c>
      <c r="D6" s="8">
        <v>143.0</v>
      </c>
      <c r="E6" s="10">
        <v>365.0</v>
      </c>
      <c r="F6" s="10">
        <v>8.0</v>
      </c>
      <c r="G6" s="10">
        <v>0.0</v>
      </c>
      <c r="H6" s="10">
        <v>0.0</v>
      </c>
      <c r="I6" s="10">
        <v>0.0</v>
      </c>
    </row>
    <row r="7" ht="22.5" customHeight="1">
      <c r="A7" s="4">
        <v>5.0</v>
      </c>
      <c r="B7" s="6" t="s">
        <v>14</v>
      </c>
      <c r="C7" s="8">
        <v>200.0</v>
      </c>
      <c r="D7" s="8">
        <v>121.0</v>
      </c>
      <c r="E7" s="10">
        <v>321.0</v>
      </c>
      <c r="F7" s="10">
        <v>10.0</v>
      </c>
      <c r="G7" s="10">
        <v>0.0</v>
      </c>
      <c r="H7" s="10">
        <v>0.0</v>
      </c>
      <c r="I7" s="10">
        <v>0.0</v>
      </c>
    </row>
    <row r="8" ht="22.5" customHeight="1">
      <c r="A8" s="4">
        <v>6.0</v>
      </c>
      <c r="B8" s="6" t="s">
        <v>15</v>
      </c>
      <c r="C8" s="8">
        <v>200.0</v>
      </c>
      <c r="D8" s="8">
        <v>121.0</v>
      </c>
      <c r="E8" s="10">
        <v>321.0</v>
      </c>
      <c r="F8" s="10">
        <v>5.0</v>
      </c>
      <c r="G8" s="10">
        <v>0.0</v>
      </c>
      <c r="H8" s="10">
        <v>0.0</v>
      </c>
      <c r="I8" s="10">
        <v>0.0</v>
      </c>
    </row>
    <row r="9" ht="22.5" customHeight="1">
      <c r="A9" s="4">
        <v>7.0</v>
      </c>
      <c r="B9" s="6" t="s">
        <v>16</v>
      </c>
      <c r="C9" s="8">
        <v>232.0</v>
      </c>
      <c r="D9" s="8">
        <v>153.0</v>
      </c>
      <c r="E9" s="10">
        <v>385.0</v>
      </c>
      <c r="F9" s="10">
        <v>5.0</v>
      </c>
      <c r="G9" s="10">
        <v>0.0</v>
      </c>
      <c r="H9" s="10">
        <v>0.0</v>
      </c>
      <c r="I9" s="10">
        <v>0.0</v>
      </c>
    </row>
    <row r="10" ht="22.5" customHeight="1">
      <c r="A10" s="4">
        <v>8.0</v>
      </c>
      <c r="B10" s="6" t="s">
        <v>17</v>
      </c>
      <c r="C10" s="8">
        <v>286.0</v>
      </c>
      <c r="D10" s="8">
        <v>207.0</v>
      </c>
      <c r="E10" s="10">
        <v>493.0</v>
      </c>
      <c r="F10" s="10">
        <v>4.0</v>
      </c>
      <c r="G10" s="10">
        <v>0.0</v>
      </c>
      <c r="H10" s="10">
        <v>0.0</v>
      </c>
      <c r="I10" s="10">
        <v>0.0</v>
      </c>
    </row>
    <row r="11" ht="22.5" customHeight="1">
      <c r="A11" s="4">
        <v>9.0</v>
      </c>
      <c r="B11" s="6" t="s">
        <v>27</v>
      </c>
      <c r="C11" s="8">
        <v>289.0</v>
      </c>
      <c r="D11" s="8">
        <v>210.0</v>
      </c>
      <c r="E11" s="10">
        <v>499.0</v>
      </c>
      <c r="F11" s="10">
        <v>7.0</v>
      </c>
      <c r="G11" s="10">
        <v>4.0</v>
      </c>
      <c r="H11" s="10">
        <v>4.0</v>
      </c>
      <c r="I11" s="10">
        <v>14.0</v>
      </c>
    </row>
    <row r="12" ht="22.5" customHeight="1">
      <c r="A12" s="4">
        <v>10.0</v>
      </c>
      <c r="B12" s="6" t="s">
        <v>44</v>
      </c>
      <c r="C12" s="8">
        <v>259.0</v>
      </c>
      <c r="D12" s="8">
        <v>180.0</v>
      </c>
      <c r="E12" s="10">
        <v>439.0</v>
      </c>
      <c r="F12" s="10">
        <v>7.0</v>
      </c>
      <c r="G12" s="10">
        <v>3.0</v>
      </c>
      <c r="H12" s="10">
        <v>14.0</v>
      </c>
      <c r="I12" s="10">
        <v>18.0</v>
      </c>
    </row>
    <row r="13" ht="22.5" customHeight="1">
      <c r="A13" s="4">
        <v>11.0</v>
      </c>
      <c r="B13" s="6" t="s">
        <v>53</v>
      </c>
      <c r="C13" s="8">
        <v>688.0</v>
      </c>
      <c r="D13" s="8">
        <v>609.0</v>
      </c>
      <c r="E13" s="10">
        <v>1297.0</v>
      </c>
      <c r="F13" s="10">
        <v>142.0</v>
      </c>
      <c r="G13" s="10">
        <v>24.0</v>
      </c>
      <c r="H13" s="10">
        <v>55.0</v>
      </c>
      <c r="I13" s="10">
        <v>129.0</v>
      </c>
    </row>
    <row r="14" ht="22.5" customHeight="1">
      <c r="A14" s="4">
        <v>12.0</v>
      </c>
      <c r="B14" s="6" t="s">
        <v>75</v>
      </c>
      <c r="C14" s="8">
        <v>519.0</v>
      </c>
      <c r="D14" s="8">
        <v>440.0</v>
      </c>
      <c r="E14" s="10">
        <v>959.0</v>
      </c>
      <c r="F14" s="10">
        <v>98.0</v>
      </c>
      <c r="G14" s="10">
        <v>15.0</v>
      </c>
      <c r="H14" s="10">
        <v>49.0</v>
      </c>
      <c r="I14" s="10">
        <v>101.0</v>
      </c>
    </row>
    <row r="15" ht="22.5" customHeight="1">
      <c r="A15" s="4">
        <v>13.0</v>
      </c>
      <c r="B15" s="6" t="s">
        <v>96</v>
      </c>
      <c r="C15" s="8">
        <v>665.0</v>
      </c>
      <c r="D15" s="8">
        <v>586.0</v>
      </c>
      <c r="E15" s="10">
        <v>1251.0</v>
      </c>
      <c r="F15" s="10">
        <v>37.0</v>
      </c>
      <c r="G15" s="10">
        <v>4.0</v>
      </c>
      <c r="H15" s="10">
        <v>14.0</v>
      </c>
      <c r="I15" s="10">
        <v>31.0</v>
      </c>
    </row>
    <row r="16" ht="22.5" customHeight="1">
      <c r="A16" s="4">
        <v>14.0</v>
      </c>
      <c r="B16" s="6" t="s">
        <v>125</v>
      </c>
      <c r="C16" s="8">
        <v>430.0</v>
      </c>
      <c r="D16" s="8">
        <v>351.0</v>
      </c>
      <c r="E16" s="10">
        <v>781.0</v>
      </c>
      <c r="F16" s="10">
        <v>25.0</v>
      </c>
      <c r="G16" s="10">
        <v>0.0</v>
      </c>
      <c r="H16" s="10">
        <v>4.0</v>
      </c>
      <c r="I16" s="10">
        <v>6.0</v>
      </c>
    </row>
    <row r="17" ht="22.5" customHeight="1">
      <c r="A17" s="4">
        <v>15.0</v>
      </c>
      <c r="B17" s="6" t="s">
        <v>147</v>
      </c>
      <c r="C17" s="8">
        <v>236.0</v>
      </c>
      <c r="D17" s="8">
        <v>157.0</v>
      </c>
      <c r="E17" s="10">
        <v>393.0</v>
      </c>
      <c r="F17" s="10">
        <v>11.0</v>
      </c>
      <c r="G17" s="10">
        <v>4.0</v>
      </c>
      <c r="H17" s="10">
        <v>9.0</v>
      </c>
      <c r="I17" s="10">
        <v>11.0</v>
      </c>
    </row>
    <row r="18" ht="22.5" customHeight="1">
      <c r="A18" s="4">
        <v>16.0</v>
      </c>
      <c r="B18" s="6" t="s">
        <v>167</v>
      </c>
      <c r="C18" s="8">
        <v>542.0</v>
      </c>
      <c r="D18" s="8">
        <v>463.0</v>
      </c>
      <c r="E18" s="10">
        <v>1005.0</v>
      </c>
      <c r="F18" s="10">
        <v>54.0</v>
      </c>
      <c r="G18" s="10">
        <v>2.0</v>
      </c>
      <c r="H18" s="10">
        <v>1.0</v>
      </c>
      <c r="I18" s="10">
        <v>3.0</v>
      </c>
    </row>
    <row r="19" ht="22.5" customHeight="1">
      <c r="A19" s="4">
        <v>17.0</v>
      </c>
      <c r="B19" s="6" t="s">
        <v>194</v>
      </c>
      <c r="C19" s="8">
        <v>280.0</v>
      </c>
      <c r="D19" s="8">
        <v>201.0</v>
      </c>
      <c r="E19" s="10">
        <v>481.0</v>
      </c>
      <c r="F19" s="10">
        <v>10.0</v>
      </c>
      <c r="G19" s="10">
        <v>1.0</v>
      </c>
      <c r="H19" s="10">
        <v>4.0</v>
      </c>
      <c r="I19" s="10">
        <v>3.0</v>
      </c>
    </row>
    <row r="20" ht="22.5" customHeight="1">
      <c r="A20" s="4">
        <v>18.0</v>
      </c>
      <c r="B20" s="6" t="s">
        <v>221</v>
      </c>
      <c r="C20" s="8">
        <v>169.0</v>
      </c>
      <c r="D20" s="8">
        <v>90.0</v>
      </c>
      <c r="E20" s="10">
        <v>259.0</v>
      </c>
      <c r="F20" s="10">
        <v>6.0</v>
      </c>
      <c r="G20" s="10">
        <v>2.0</v>
      </c>
      <c r="H20" s="10">
        <v>4.0</v>
      </c>
      <c r="I20" s="10">
        <v>3.0</v>
      </c>
    </row>
    <row r="21" ht="22.5" customHeight="1">
      <c r="A21" s="4">
        <v>19.0</v>
      </c>
      <c r="B21" s="6" t="s">
        <v>239</v>
      </c>
      <c r="C21" s="8">
        <v>191.0</v>
      </c>
      <c r="D21" s="8">
        <v>112.0</v>
      </c>
      <c r="E21" s="10">
        <v>303.0</v>
      </c>
      <c r="F21" s="10">
        <v>4.0</v>
      </c>
      <c r="G21" s="10">
        <v>0.0</v>
      </c>
      <c r="H21" s="10">
        <v>0.0</v>
      </c>
      <c r="I21" s="10">
        <v>0.0</v>
      </c>
    </row>
    <row r="22" ht="22.5" customHeight="1">
      <c r="A22" s="4">
        <v>20.0</v>
      </c>
      <c r="B22" s="6" t="s">
        <v>254</v>
      </c>
      <c r="C22" s="8">
        <v>181.0</v>
      </c>
      <c r="D22" s="8">
        <v>102.0</v>
      </c>
      <c r="E22" s="10">
        <v>283.0</v>
      </c>
      <c r="F22" s="10">
        <v>7.0</v>
      </c>
      <c r="G22" s="10">
        <v>4.0</v>
      </c>
      <c r="H22" s="10">
        <v>2.0</v>
      </c>
      <c r="I22" s="10">
        <v>5.0</v>
      </c>
    </row>
    <row r="23" ht="22.5" customHeight="1">
      <c r="A23" s="4">
        <v>21.0</v>
      </c>
      <c r="B23" s="6" t="s">
        <v>268</v>
      </c>
      <c r="C23" s="8">
        <v>151.0</v>
      </c>
      <c r="D23" s="8">
        <v>72.0</v>
      </c>
      <c r="E23" s="10">
        <v>223.0</v>
      </c>
      <c r="F23" s="10">
        <v>3.0</v>
      </c>
      <c r="G23" s="10">
        <v>0.0</v>
      </c>
      <c r="H23" s="10">
        <v>0.0</v>
      </c>
      <c r="I23" s="10">
        <v>0.0</v>
      </c>
    </row>
    <row r="24" ht="22.5" customHeight="1">
      <c r="A24" s="4">
        <v>22.0</v>
      </c>
      <c r="B24" s="6" t="s">
        <v>282</v>
      </c>
      <c r="C24" s="8">
        <v>274.0</v>
      </c>
      <c r="D24" s="8">
        <v>195.0</v>
      </c>
      <c r="E24" s="10">
        <v>469.0</v>
      </c>
      <c r="F24" s="10">
        <v>4.0</v>
      </c>
      <c r="G24" s="10">
        <v>0.0</v>
      </c>
      <c r="H24" s="10">
        <v>0.0</v>
      </c>
      <c r="I24" s="10">
        <v>0.0</v>
      </c>
    </row>
    <row r="25" ht="22.5" customHeight="1">
      <c r="A25" s="4">
        <v>23.0</v>
      </c>
      <c r="B25" s="6" t="s">
        <v>298</v>
      </c>
      <c r="C25" s="8">
        <v>182.0</v>
      </c>
      <c r="D25" s="8">
        <v>103.0</v>
      </c>
      <c r="E25" s="10">
        <v>285.0</v>
      </c>
      <c r="F25" s="10">
        <v>19.0</v>
      </c>
      <c r="G25" s="10">
        <v>0.0</v>
      </c>
      <c r="H25" s="10">
        <v>0.0</v>
      </c>
      <c r="I25" s="10">
        <v>0.0</v>
      </c>
    </row>
    <row r="26" ht="22.5" customHeight="1">
      <c r="A26" s="4">
        <v>24.0</v>
      </c>
      <c r="B26" s="6" t="s">
        <v>306</v>
      </c>
      <c r="C26" s="8">
        <v>176.0</v>
      </c>
      <c r="D26" s="8">
        <v>97.0</v>
      </c>
      <c r="E26" s="10">
        <v>273.0</v>
      </c>
      <c r="F26" s="10">
        <v>1.0</v>
      </c>
      <c r="G26" s="10">
        <v>0.0</v>
      </c>
      <c r="H26" s="10">
        <v>0.0</v>
      </c>
      <c r="I26" s="10">
        <v>0.0</v>
      </c>
    </row>
    <row r="27" ht="22.5" customHeight="1">
      <c r="A27" s="4">
        <v>25.0</v>
      </c>
      <c r="B27" s="6" t="s">
        <v>312</v>
      </c>
      <c r="C27" s="8">
        <v>168.0</v>
      </c>
      <c r="D27" s="8">
        <v>89.0</v>
      </c>
      <c r="E27" s="10">
        <v>257.0</v>
      </c>
      <c r="F27" s="10">
        <v>10.0</v>
      </c>
      <c r="G27" s="10">
        <v>2.0</v>
      </c>
      <c r="H27" s="10">
        <v>18.0</v>
      </c>
      <c r="I27" s="10">
        <v>15.0</v>
      </c>
    </row>
    <row r="28" ht="22.5" customHeight="1">
      <c r="A28" s="4">
        <v>26.0</v>
      </c>
      <c r="B28" s="6" t="s">
        <v>332</v>
      </c>
      <c r="C28" s="8">
        <v>277.0</v>
      </c>
      <c r="D28" s="8">
        <v>198.0</v>
      </c>
      <c r="E28" s="10">
        <v>475.0</v>
      </c>
      <c r="F28" s="10">
        <v>3.0</v>
      </c>
      <c r="G28" s="10">
        <v>0.0</v>
      </c>
      <c r="H28" s="10">
        <v>0.0</v>
      </c>
      <c r="I28" s="10">
        <v>0.0</v>
      </c>
    </row>
    <row r="29" ht="22.5" customHeight="1">
      <c r="A29" s="4">
        <v>27.0</v>
      </c>
      <c r="B29" s="6" t="s">
        <v>347</v>
      </c>
      <c r="C29" s="8">
        <v>253.0</v>
      </c>
      <c r="D29" s="8">
        <v>174.0</v>
      </c>
      <c r="E29" s="10">
        <v>427.0</v>
      </c>
      <c r="F29" s="10">
        <v>7.0</v>
      </c>
      <c r="G29" s="10">
        <v>0.0</v>
      </c>
      <c r="H29" s="10">
        <v>0.0</v>
      </c>
      <c r="I29" s="10">
        <v>0.0</v>
      </c>
    </row>
    <row r="30" ht="22.5" customHeight="1">
      <c r="A30" s="4">
        <v>28.0</v>
      </c>
      <c r="B30" s="6" t="s">
        <v>367</v>
      </c>
      <c r="C30" s="8">
        <v>182.0</v>
      </c>
      <c r="D30" s="8">
        <v>103.0</v>
      </c>
      <c r="E30" s="10">
        <v>285.0</v>
      </c>
      <c r="F30" s="10">
        <v>12.0</v>
      </c>
      <c r="G30" s="10">
        <v>4.0</v>
      </c>
      <c r="H30" s="10">
        <v>8.0</v>
      </c>
      <c r="I30" s="10">
        <v>13.0</v>
      </c>
    </row>
    <row r="31" ht="22.5" customHeight="1">
      <c r="A31" s="4">
        <v>29.0</v>
      </c>
      <c r="B31" s="6" t="s">
        <v>389</v>
      </c>
      <c r="C31" s="8">
        <v>173.0</v>
      </c>
      <c r="D31" s="8">
        <v>94.0</v>
      </c>
      <c r="E31" s="10">
        <v>267.0</v>
      </c>
      <c r="F31" s="10">
        <v>2.0</v>
      </c>
      <c r="G31" s="10">
        <v>0.0</v>
      </c>
      <c r="H31" s="10">
        <v>0.0</v>
      </c>
      <c r="I31" s="10">
        <v>0.0</v>
      </c>
    </row>
    <row r="32" ht="22.5" customHeight="1">
      <c r="A32" s="4">
        <v>30.0</v>
      </c>
      <c r="B32" s="6" t="s">
        <v>404</v>
      </c>
      <c r="C32" s="8">
        <v>183.0</v>
      </c>
      <c r="D32" s="8">
        <v>104.0</v>
      </c>
      <c r="E32" s="10">
        <v>287.0</v>
      </c>
      <c r="F32" s="10">
        <v>2.0</v>
      </c>
      <c r="G32" s="10">
        <v>0.0</v>
      </c>
      <c r="H32" s="10">
        <v>0.0</v>
      </c>
      <c r="I32" s="10">
        <v>0.0</v>
      </c>
    </row>
    <row r="33" ht="22.5" customHeight="1">
      <c r="A33" s="4">
        <v>31.0</v>
      </c>
      <c r="B33" s="6" t="s">
        <v>411</v>
      </c>
      <c r="C33" s="8">
        <v>78.0</v>
      </c>
      <c r="D33" s="17">
        <v>26.0</v>
      </c>
      <c r="E33" s="10">
        <v>104.0</v>
      </c>
      <c r="F33" s="10">
        <v>6.0</v>
      </c>
      <c r="G33" s="10">
        <v>0.0</v>
      </c>
      <c r="H33" s="10">
        <v>0.0</v>
      </c>
      <c r="I33" s="10">
        <v>0.0</v>
      </c>
    </row>
    <row r="34" ht="22.5" customHeight="1">
      <c r="A34" s="4">
        <v>32.0</v>
      </c>
      <c r="B34" s="6" t="s">
        <v>422</v>
      </c>
      <c r="C34" s="8">
        <v>108.0</v>
      </c>
      <c r="D34" s="8">
        <v>29.0</v>
      </c>
      <c r="E34" s="10">
        <v>137.0</v>
      </c>
      <c r="F34" s="10">
        <v>3.0</v>
      </c>
      <c r="G34" s="10">
        <v>0.0</v>
      </c>
      <c r="H34" s="10">
        <v>0.0</v>
      </c>
      <c r="I34" s="10">
        <v>0.0</v>
      </c>
    </row>
    <row r="35" ht="22.5" customHeight="1">
      <c r="A35" s="4">
        <v>33.0</v>
      </c>
      <c r="B35" s="6" t="s">
        <v>428</v>
      </c>
      <c r="C35" s="8">
        <v>103.0</v>
      </c>
      <c r="D35" s="8">
        <v>24.0</v>
      </c>
      <c r="E35" s="10">
        <v>127.0</v>
      </c>
      <c r="F35" s="10">
        <v>2.0</v>
      </c>
      <c r="G35" s="10">
        <v>0.0</v>
      </c>
      <c r="H35" s="10">
        <v>0.0</v>
      </c>
      <c r="I35" s="10">
        <v>0.0</v>
      </c>
    </row>
    <row r="36" ht="22.5" customHeight="1">
      <c r="A36" s="4">
        <v>34.0</v>
      </c>
      <c r="B36" s="6" t="s">
        <v>441</v>
      </c>
      <c r="C36" s="8">
        <v>80.0</v>
      </c>
      <c r="D36" s="17">
        <v>24.0</v>
      </c>
      <c r="E36" s="10">
        <v>104.0</v>
      </c>
      <c r="F36" s="10">
        <v>2.0</v>
      </c>
      <c r="G36" s="10">
        <v>0.0</v>
      </c>
      <c r="H36" s="10">
        <v>0.0</v>
      </c>
      <c r="I36" s="10">
        <v>0.0</v>
      </c>
    </row>
    <row r="37" ht="22.5" customHeight="1">
      <c r="A37" s="4">
        <v>35.0</v>
      </c>
      <c r="B37" s="6" t="s">
        <v>444</v>
      </c>
      <c r="C37" s="8">
        <v>115.0</v>
      </c>
      <c r="D37" s="8">
        <v>36.0</v>
      </c>
      <c r="E37" s="10">
        <v>151.0</v>
      </c>
      <c r="F37" s="10">
        <v>0.0</v>
      </c>
      <c r="G37" s="10">
        <v>0.0</v>
      </c>
      <c r="H37" s="10">
        <v>0.0</v>
      </c>
      <c r="I37" s="10">
        <v>0.0</v>
      </c>
    </row>
    <row r="38" ht="22.5" customHeight="1">
      <c r="A38" s="4">
        <v>36.0</v>
      </c>
      <c r="B38" s="6" t="s">
        <v>449</v>
      </c>
      <c r="C38" s="8">
        <v>90.0</v>
      </c>
      <c r="D38" s="8">
        <v>11.0</v>
      </c>
      <c r="E38" s="10">
        <v>101.0</v>
      </c>
      <c r="F38" s="10">
        <v>1.0</v>
      </c>
      <c r="G38" s="10">
        <v>0.0</v>
      </c>
      <c r="H38" s="10">
        <v>0.0</v>
      </c>
      <c r="I38" s="10">
        <v>0.0</v>
      </c>
    </row>
    <row r="39" ht="22.5" customHeight="1">
      <c r="A39" s="4">
        <v>37.0</v>
      </c>
      <c r="B39" s="6" t="s">
        <v>464</v>
      </c>
      <c r="C39" s="8">
        <v>149.0</v>
      </c>
      <c r="D39" s="8">
        <v>70.0</v>
      </c>
      <c r="E39" s="10">
        <v>219.0</v>
      </c>
      <c r="F39" s="10">
        <v>0.0</v>
      </c>
      <c r="G39" s="10">
        <v>0.0</v>
      </c>
      <c r="H39" s="10">
        <v>0.0</v>
      </c>
      <c r="I39" s="10">
        <v>0.0</v>
      </c>
    </row>
    <row r="40" ht="22.5" customHeight="1">
      <c r="A40" s="4">
        <v>38.0</v>
      </c>
      <c r="B40" s="6" t="s">
        <v>475</v>
      </c>
      <c r="C40" s="8">
        <v>148.0</v>
      </c>
      <c r="D40" s="8">
        <v>69.0</v>
      </c>
      <c r="E40" s="10">
        <v>217.0</v>
      </c>
      <c r="F40" s="10">
        <v>0.0</v>
      </c>
      <c r="G40" s="10">
        <v>0.0</v>
      </c>
      <c r="H40" s="10">
        <v>0.0</v>
      </c>
      <c r="I40" s="10">
        <v>0.0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s>
  <sheetData>
    <row r="1">
      <c r="A1" s="11" t="s">
        <v>18</v>
      </c>
      <c r="B1" s="11" t="s">
        <v>19</v>
      </c>
      <c r="C1" s="11" t="s">
        <v>20</v>
      </c>
      <c r="D1" s="11" t="s">
        <v>21</v>
      </c>
      <c r="E1" s="11" t="s">
        <v>22</v>
      </c>
      <c r="F1" s="11" t="s">
        <v>23</v>
      </c>
      <c r="G1" s="11" t="s">
        <v>24</v>
      </c>
      <c r="H1" s="11" t="s">
        <v>25</v>
      </c>
      <c r="I1" s="11" t="s">
        <v>26</v>
      </c>
      <c r="J1" s="12" t="s">
        <v>28</v>
      </c>
      <c r="K1" s="11" t="s">
        <v>29</v>
      </c>
      <c r="L1" s="11" t="s">
        <v>30</v>
      </c>
      <c r="M1" s="11" t="s">
        <v>31</v>
      </c>
      <c r="N1" s="11" t="s">
        <v>32</v>
      </c>
      <c r="O1" s="11" t="s">
        <v>33</v>
      </c>
      <c r="P1" s="11" t="s">
        <v>34</v>
      </c>
      <c r="Q1" s="11" t="s">
        <v>35</v>
      </c>
    </row>
    <row r="2">
      <c r="A2" s="13">
        <v>1.0</v>
      </c>
      <c r="B2" s="14" t="s">
        <v>36</v>
      </c>
      <c r="C2" s="14" t="s">
        <v>37</v>
      </c>
      <c r="D2" s="14" t="s">
        <v>38</v>
      </c>
      <c r="E2" s="14" t="s">
        <v>39</v>
      </c>
      <c r="F2" s="14" t="s">
        <v>40</v>
      </c>
      <c r="G2" s="14" t="s">
        <v>41</v>
      </c>
      <c r="H2" s="13">
        <v>1.0</v>
      </c>
      <c r="I2" s="14" t="s">
        <v>42</v>
      </c>
      <c r="J2" s="15" t="s">
        <v>43</v>
      </c>
      <c r="K2" s="14" t="str">
        <f t="shared" ref="K2:K695" si="1">mid(J2,4,2)</f>
        <v>01</v>
      </c>
      <c r="L2" s="14" t="s">
        <v>45</v>
      </c>
      <c r="M2" s="14" t="s">
        <v>46</v>
      </c>
      <c r="N2" s="14" t="s">
        <v>47</v>
      </c>
      <c r="O2" s="16">
        <v>46241.0</v>
      </c>
      <c r="Q2" s="16">
        <v>46147.0</v>
      </c>
    </row>
    <row r="3">
      <c r="A3" s="13">
        <v>2.0</v>
      </c>
      <c r="B3" s="14" t="s">
        <v>48</v>
      </c>
      <c r="C3" s="14" t="s">
        <v>49</v>
      </c>
      <c r="D3" s="14" t="s">
        <v>50</v>
      </c>
      <c r="E3" s="14" t="s">
        <v>51</v>
      </c>
      <c r="F3" s="14" t="s">
        <v>40</v>
      </c>
      <c r="G3" s="14" t="s">
        <v>41</v>
      </c>
      <c r="H3" s="13">
        <v>1.0</v>
      </c>
      <c r="I3" s="14" t="s">
        <v>42</v>
      </c>
      <c r="J3" s="15" t="s">
        <v>43</v>
      </c>
      <c r="K3" s="14" t="str">
        <f t="shared" si="1"/>
        <v>01</v>
      </c>
      <c r="L3" s="14" t="s">
        <v>45</v>
      </c>
      <c r="M3" s="14" t="s">
        <v>52</v>
      </c>
      <c r="N3" s="14" t="s">
        <v>54</v>
      </c>
      <c r="O3" s="16">
        <v>46262.0</v>
      </c>
      <c r="P3" s="14" t="s">
        <v>55</v>
      </c>
      <c r="Q3" s="16">
        <v>46147.0</v>
      </c>
    </row>
    <row r="4">
      <c r="A4" s="13">
        <v>3.0</v>
      </c>
      <c r="B4" s="14" t="s">
        <v>56</v>
      </c>
      <c r="C4" s="14" t="s">
        <v>57</v>
      </c>
      <c r="D4" s="14" t="s">
        <v>58</v>
      </c>
      <c r="E4" s="14" t="s">
        <v>59</v>
      </c>
      <c r="F4" s="14" t="s">
        <v>60</v>
      </c>
      <c r="G4" s="14" t="s">
        <v>41</v>
      </c>
      <c r="H4" s="13">
        <v>1.0</v>
      </c>
      <c r="I4" s="14" t="s">
        <v>61</v>
      </c>
      <c r="J4" s="15" t="s">
        <v>43</v>
      </c>
      <c r="K4" s="14" t="str">
        <f t="shared" si="1"/>
        <v>01</v>
      </c>
      <c r="L4" s="14" t="s">
        <v>45</v>
      </c>
      <c r="M4" s="14" t="s">
        <v>62</v>
      </c>
      <c r="N4" s="14" t="s">
        <v>63</v>
      </c>
      <c r="O4" s="14" t="s">
        <v>64</v>
      </c>
      <c r="P4" s="14" t="s">
        <v>65</v>
      </c>
      <c r="Q4" s="16">
        <v>46188.0</v>
      </c>
    </row>
    <row r="5">
      <c r="A5" s="13">
        <v>4.0</v>
      </c>
      <c r="B5" s="14" t="s">
        <v>66</v>
      </c>
      <c r="C5" s="14" t="s">
        <v>67</v>
      </c>
      <c r="D5" s="14" t="s">
        <v>68</v>
      </c>
      <c r="E5" s="14" t="s">
        <v>69</v>
      </c>
      <c r="F5" s="14" t="s">
        <v>70</v>
      </c>
      <c r="G5" s="14" t="s">
        <v>41</v>
      </c>
      <c r="H5" s="13">
        <v>1.0</v>
      </c>
      <c r="I5" s="14" t="s">
        <v>61</v>
      </c>
      <c r="J5" s="15" t="s">
        <v>43</v>
      </c>
      <c r="K5" s="14" t="str">
        <f t="shared" si="1"/>
        <v>01</v>
      </c>
      <c r="L5" s="14" t="s">
        <v>45</v>
      </c>
      <c r="M5" s="14" t="s">
        <v>71</v>
      </c>
      <c r="N5" s="14" t="s">
        <v>72</v>
      </c>
      <c r="O5" s="14" t="s">
        <v>64</v>
      </c>
      <c r="P5" s="14" t="s">
        <v>73</v>
      </c>
      <c r="Q5" s="16">
        <v>46280.0</v>
      </c>
    </row>
    <row r="6">
      <c r="A6" s="13">
        <v>5.0</v>
      </c>
      <c r="B6" s="14" t="s">
        <v>66</v>
      </c>
      <c r="C6" s="14" t="s">
        <v>67</v>
      </c>
      <c r="D6" s="14" t="s">
        <v>68</v>
      </c>
      <c r="E6" s="14" t="s">
        <v>74</v>
      </c>
      <c r="F6" s="14" t="s">
        <v>60</v>
      </c>
      <c r="G6" s="14" t="s">
        <v>41</v>
      </c>
      <c r="H6" s="13">
        <v>1.0</v>
      </c>
      <c r="I6" s="14" t="s">
        <v>42</v>
      </c>
      <c r="J6" s="15" t="s">
        <v>43</v>
      </c>
      <c r="K6" s="14" t="str">
        <f t="shared" si="1"/>
        <v>01</v>
      </c>
      <c r="L6" s="14" t="s">
        <v>45</v>
      </c>
      <c r="M6" s="14" t="s">
        <v>76</v>
      </c>
      <c r="N6" s="14" t="s">
        <v>77</v>
      </c>
      <c r="O6" s="16">
        <v>46290.0</v>
      </c>
      <c r="P6" s="14" t="s">
        <v>78</v>
      </c>
      <c r="Q6" s="16">
        <v>46255.0</v>
      </c>
    </row>
    <row r="7">
      <c r="A7" s="13">
        <v>6.0</v>
      </c>
      <c r="B7" s="14" t="s">
        <v>79</v>
      </c>
      <c r="C7" s="14" t="s">
        <v>80</v>
      </c>
      <c r="D7" s="14" t="s">
        <v>81</v>
      </c>
      <c r="E7" s="14" t="s">
        <v>82</v>
      </c>
      <c r="F7" s="14" t="s">
        <v>40</v>
      </c>
      <c r="G7" s="14" t="s">
        <v>41</v>
      </c>
      <c r="H7" s="13">
        <v>1.0</v>
      </c>
      <c r="I7" s="14" t="s">
        <v>61</v>
      </c>
      <c r="J7" s="15" t="s">
        <v>43</v>
      </c>
      <c r="K7" s="14" t="str">
        <f t="shared" si="1"/>
        <v>01</v>
      </c>
      <c r="L7" s="14" t="s">
        <v>45</v>
      </c>
      <c r="M7" s="14" t="s">
        <v>83</v>
      </c>
      <c r="N7" s="14" t="s">
        <v>84</v>
      </c>
      <c r="O7" s="16">
        <v>46265.0</v>
      </c>
      <c r="P7" s="14" t="s">
        <v>85</v>
      </c>
      <c r="Q7" s="16">
        <v>46167.0</v>
      </c>
    </row>
    <row r="8">
      <c r="A8" s="13">
        <v>7.0</v>
      </c>
      <c r="B8" s="14" t="s">
        <v>86</v>
      </c>
      <c r="C8" s="14" t="s">
        <v>87</v>
      </c>
      <c r="D8" s="14" t="s">
        <v>88</v>
      </c>
      <c r="E8" s="14" t="s">
        <v>89</v>
      </c>
      <c r="F8" s="14" t="s">
        <v>40</v>
      </c>
      <c r="G8" s="14" t="s">
        <v>41</v>
      </c>
      <c r="H8" s="13">
        <v>1.0</v>
      </c>
      <c r="I8" s="14" t="s">
        <v>42</v>
      </c>
      <c r="J8" s="15" t="s">
        <v>43</v>
      </c>
      <c r="K8" s="14" t="str">
        <f t="shared" si="1"/>
        <v>01</v>
      </c>
      <c r="L8" s="14" t="s">
        <v>45</v>
      </c>
      <c r="M8" s="14" t="s">
        <v>90</v>
      </c>
      <c r="N8" s="14" t="s">
        <v>91</v>
      </c>
      <c r="O8" s="16">
        <v>46269.0</v>
      </c>
      <c r="Q8" s="16">
        <v>46161.0</v>
      </c>
    </row>
    <row r="9">
      <c r="A9" s="13">
        <v>8.0</v>
      </c>
      <c r="B9" s="14" t="s">
        <v>92</v>
      </c>
      <c r="C9" s="14" t="s">
        <v>93</v>
      </c>
      <c r="D9" s="14" t="s">
        <v>94</v>
      </c>
      <c r="E9" s="14" t="s">
        <v>95</v>
      </c>
      <c r="F9" s="14" t="s">
        <v>40</v>
      </c>
      <c r="G9" s="14" t="s">
        <v>41</v>
      </c>
      <c r="H9" s="13">
        <v>1.0</v>
      </c>
      <c r="I9" s="14" t="s">
        <v>42</v>
      </c>
      <c r="J9" s="15" t="s">
        <v>43</v>
      </c>
      <c r="K9" s="14" t="str">
        <f t="shared" si="1"/>
        <v>01</v>
      </c>
      <c r="L9" s="14" t="s">
        <v>45</v>
      </c>
      <c r="M9" s="14" t="s">
        <v>97</v>
      </c>
      <c r="N9" s="14" t="s">
        <v>98</v>
      </c>
      <c r="O9" s="16">
        <v>46269.0</v>
      </c>
      <c r="Q9" s="16">
        <v>46161.0</v>
      </c>
    </row>
    <row r="10">
      <c r="A10" s="13">
        <v>9.0</v>
      </c>
      <c r="B10" s="14" t="s">
        <v>99</v>
      </c>
      <c r="C10" s="14" t="s">
        <v>100</v>
      </c>
      <c r="D10" s="14" t="s">
        <v>101</v>
      </c>
      <c r="E10" s="14" t="s">
        <v>102</v>
      </c>
      <c r="F10" s="14" t="s">
        <v>40</v>
      </c>
      <c r="G10" s="14" t="s">
        <v>41</v>
      </c>
      <c r="H10" s="13">
        <v>1.0</v>
      </c>
      <c r="I10" s="14" t="s">
        <v>42</v>
      </c>
      <c r="J10" s="15" t="s">
        <v>43</v>
      </c>
      <c r="K10" s="14" t="str">
        <f t="shared" si="1"/>
        <v>01</v>
      </c>
      <c r="L10" s="14" t="s">
        <v>45</v>
      </c>
      <c r="M10" s="14" t="s">
        <v>103</v>
      </c>
      <c r="N10" s="14" t="s">
        <v>104</v>
      </c>
      <c r="O10" s="16">
        <v>46269.0</v>
      </c>
      <c r="Q10" s="16">
        <v>46161.0</v>
      </c>
    </row>
    <row r="11">
      <c r="A11" s="13">
        <v>10.0</v>
      </c>
      <c r="B11" s="14" t="s">
        <v>105</v>
      </c>
      <c r="C11" s="14" t="s">
        <v>106</v>
      </c>
      <c r="D11" s="14" t="s">
        <v>107</v>
      </c>
      <c r="E11" s="14" t="s">
        <v>108</v>
      </c>
      <c r="F11" s="14" t="s">
        <v>60</v>
      </c>
      <c r="G11" s="14" t="s">
        <v>109</v>
      </c>
      <c r="H11" s="13">
        <v>1.0</v>
      </c>
      <c r="I11" s="14" t="s">
        <v>42</v>
      </c>
      <c r="J11" s="15" t="s">
        <v>43</v>
      </c>
      <c r="K11" s="14" t="str">
        <f t="shared" si="1"/>
        <v>01</v>
      </c>
      <c r="L11" s="14" t="s">
        <v>45</v>
      </c>
      <c r="M11" s="14" t="s">
        <v>110</v>
      </c>
      <c r="N11" s="14" t="s">
        <v>111</v>
      </c>
      <c r="O11" s="16">
        <v>46304.0</v>
      </c>
      <c r="P11" s="14" t="s">
        <v>112</v>
      </c>
      <c r="Q11" s="16">
        <v>46162.0</v>
      </c>
    </row>
    <row r="12">
      <c r="A12" s="13">
        <v>11.0</v>
      </c>
      <c r="B12" s="14" t="s">
        <v>113</v>
      </c>
      <c r="C12" s="14" t="s">
        <v>114</v>
      </c>
      <c r="D12" s="14" t="s">
        <v>115</v>
      </c>
      <c r="E12" s="14" t="s">
        <v>116</v>
      </c>
      <c r="F12" s="14" t="s">
        <v>40</v>
      </c>
      <c r="G12" s="14" t="s">
        <v>109</v>
      </c>
      <c r="H12" s="13">
        <v>1.0</v>
      </c>
      <c r="I12" s="14" t="s">
        <v>61</v>
      </c>
      <c r="J12" s="15" t="s">
        <v>43</v>
      </c>
      <c r="K12" s="14" t="str">
        <f t="shared" si="1"/>
        <v>01</v>
      </c>
      <c r="L12" s="14" t="s">
        <v>45</v>
      </c>
      <c r="M12" s="14" t="s">
        <v>117</v>
      </c>
      <c r="N12" s="14" t="s">
        <v>118</v>
      </c>
      <c r="O12" s="14" t="s">
        <v>64</v>
      </c>
      <c r="P12" s="14" t="s">
        <v>119</v>
      </c>
      <c r="Q12" s="16">
        <v>46180.0</v>
      </c>
    </row>
    <row r="13">
      <c r="A13" s="13">
        <v>12.0</v>
      </c>
      <c r="B13" s="14" t="s">
        <v>120</v>
      </c>
      <c r="C13" s="14" t="s">
        <v>121</v>
      </c>
      <c r="D13" s="14" t="s">
        <v>122</v>
      </c>
      <c r="E13" s="14" t="s">
        <v>123</v>
      </c>
      <c r="F13" s="14" t="s">
        <v>40</v>
      </c>
      <c r="G13" s="14" t="s">
        <v>124</v>
      </c>
      <c r="H13" s="13">
        <v>1.0</v>
      </c>
      <c r="I13" s="14" t="s">
        <v>42</v>
      </c>
      <c r="J13" s="15" t="s">
        <v>43</v>
      </c>
      <c r="K13" s="14" t="str">
        <f t="shared" si="1"/>
        <v>01</v>
      </c>
      <c r="L13" s="14" t="s">
        <v>45</v>
      </c>
      <c r="M13" s="14" t="s">
        <v>126</v>
      </c>
      <c r="N13" s="14" t="s">
        <v>127</v>
      </c>
      <c r="O13" s="16">
        <v>46283.0</v>
      </c>
      <c r="P13" s="14" t="s">
        <v>128</v>
      </c>
      <c r="Q13" s="16">
        <v>46252.0</v>
      </c>
    </row>
    <row r="14">
      <c r="A14" s="13">
        <v>13.0</v>
      </c>
      <c r="B14" s="14" t="s">
        <v>129</v>
      </c>
      <c r="C14" s="14" t="s">
        <v>130</v>
      </c>
      <c r="D14" s="14" t="s">
        <v>131</v>
      </c>
      <c r="E14" s="14" t="s">
        <v>132</v>
      </c>
      <c r="F14" s="14" t="s">
        <v>40</v>
      </c>
      <c r="G14" s="14" t="s">
        <v>124</v>
      </c>
      <c r="H14" s="13">
        <v>1.0</v>
      </c>
      <c r="I14" s="14" t="s">
        <v>42</v>
      </c>
      <c r="J14" s="15" t="s">
        <v>43</v>
      </c>
      <c r="K14" s="14" t="str">
        <f t="shared" si="1"/>
        <v>01</v>
      </c>
      <c r="L14" s="14" t="s">
        <v>45</v>
      </c>
      <c r="M14" s="14" t="s">
        <v>133</v>
      </c>
      <c r="N14" s="14" t="s">
        <v>134</v>
      </c>
      <c r="O14" s="16">
        <v>46285.0</v>
      </c>
      <c r="Q14" s="16">
        <v>46175.0</v>
      </c>
    </row>
    <row r="15">
      <c r="A15" s="13">
        <v>14.0</v>
      </c>
      <c r="B15" s="14" t="s">
        <v>135</v>
      </c>
      <c r="C15" s="14" t="s">
        <v>136</v>
      </c>
      <c r="D15" s="14" t="s">
        <v>137</v>
      </c>
      <c r="E15" s="14" t="s">
        <v>138</v>
      </c>
      <c r="F15" s="14" t="s">
        <v>40</v>
      </c>
      <c r="G15" s="14" t="s">
        <v>124</v>
      </c>
      <c r="H15" s="13">
        <v>1.0</v>
      </c>
      <c r="I15" s="14" t="s">
        <v>42</v>
      </c>
      <c r="J15" s="15" t="s">
        <v>43</v>
      </c>
      <c r="K15" s="14" t="str">
        <f t="shared" si="1"/>
        <v>01</v>
      </c>
      <c r="L15" s="14" t="s">
        <v>45</v>
      </c>
      <c r="M15" s="14" t="s">
        <v>139</v>
      </c>
      <c r="N15" s="14" t="s">
        <v>140</v>
      </c>
      <c r="O15" s="16">
        <v>46304.0</v>
      </c>
      <c r="P15" s="14" t="s">
        <v>141</v>
      </c>
      <c r="Q15" s="16">
        <v>46233.0</v>
      </c>
    </row>
    <row r="16">
      <c r="A16" s="13">
        <v>15.0</v>
      </c>
      <c r="B16" s="14" t="s">
        <v>142</v>
      </c>
      <c r="C16" s="14" t="s">
        <v>143</v>
      </c>
      <c r="D16" s="14" t="s">
        <v>144</v>
      </c>
      <c r="E16" s="14" t="s">
        <v>145</v>
      </c>
      <c r="F16" s="14" t="s">
        <v>40</v>
      </c>
      <c r="G16" s="14" t="s">
        <v>146</v>
      </c>
      <c r="H16" s="13">
        <v>1.0</v>
      </c>
      <c r="I16" s="14" t="s">
        <v>42</v>
      </c>
      <c r="J16" s="15" t="s">
        <v>43</v>
      </c>
      <c r="K16" s="14" t="str">
        <f t="shared" si="1"/>
        <v>01</v>
      </c>
      <c r="L16" s="14" t="s">
        <v>45</v>
      </c>
      <c r="M16" s="14" t="s">
        <v>148</v>
      </c>
      <c r="N16" s="14" t="s">
        <v>149</v>
      </c>
      <c r="O16" s="16">
        <v>46299.0</v>
      </c>
      <c r="Q16" s="16">
        <v>46195.0</v>
      </c>
    </row>
    <row r="17">
      <c r="A17" s="13">
        <v>16.0</v>
      </c>
      <c r="B17" s="14" t="s">
        <v>150</v>
      </c>
      <c r="C17" s="14" t="s">
        <v>151</v>
      </c>
      <c r="D17" s="14" t="s">
        <v>152</v>
      </c>
      <c r="E17" s="14" t="s">
        <v>153</v>
      </c>
      <c r="F17" s="14" t="s">
        <v>154</v>
      </c>
      <c r="G17" s="14" t="s">
        <v>146</v>
      </c>
      <c r="H17" s="13">
        <v>1.0</v>
      </c>
      <c r="I17" s="14" t="s">
        <v>61</v>
      </c>
      <c r="J17" s="15" t="s">
        <v>43</v>
      </c>
      <c r="K17" s="14" t="str">
        <f t="shared" si="1"/>
        <v>01</v>
      </c>
      <c r="L17" s="14" t="s">
        <v>45</v>
      </c>
      <c r="M17" s="14" t="s">
        <v>155</v>
      </c>
      <c r="N17" s="14" t="s">
        <v>156</v>
      </c>
      <c r="O17" s="14" t="s">
        <v>64</v>
      </c>
      <c r="P17" s="14" t="s">
        <v>157</v>
      </c>
      <c r="Q17" s="16">
        <v>46239.0</v>
      </c>
    </row>
    <row r="18">
      <c r="A18" s="13">
        <v>17.0</v>
      </c>
      <c r="B18" s="14" t="s">
        <v>158</v>
      </c>
      <c r="C18" s="14" t="s">
        <v>159</v>
      </c>
      <c r="D18" s="14" t="s">
        <v>160</v>
      </c>
      <c r="E18" s="14" t="s">
        <v>161</v>
      </c>
      <c r="F18" s="14" t="s">
        <v>162</v>
      </c>
      <c r="G18" s="14" t="s">
        <v>146</v>
      </c>
      <c r="H18" s="13">
        <v>1.0</v>
      </c>
      <c r="I18" s="14" t="s">
        <v>61</v>
      </c>
      <c r="J18" s="15" t="s">
        <v>43</v>
      </c>
      <c r="K18" s="14" t="str">
        <f t="shared" si="1"/>
        <v>01</v>
      </c>
      <c r="L18" s="14" t="s">
        <v>45</v>
      </c>
      <c r="M18" s="14" t="s">
        <v>163</v>
      </c>
      <c r="N18" s="14" t="s">
        <v>164</v>
      </c>
      <c r="O18" s="14" t="s">
        <v>64</v>
      </c>
      <c r="P18" s="14" t="s">
        <v>165</v>
      </c>
      <c r="Q18" s="16">
        <v>46275.0</v>
      </c>
    </row>
    <row r="19">
      <c r="A19" s="13">
        <v>18.0</v>
      </c>
      <c r="B19" s="14" t="s">
        <v>166</v>
      </c>
      <c r="C19" s="14" t="s">
        <v>168</v>
      </c>
      <c r="D19" s="14" t="s">
        <v>169</v>
      </c>
      <c r="E19" s="14" t="s">
        <v>170</v>
      </c>
      <c r="F19" s="14" t="s">
        <v>171</v>
      </c>
      <c r="G19" s="14" t="s">
        <v>146</v>
      </c>
      <c r="H19" s="13">
        <v>1.0</v>
      </c>
      <c r="I19" s="14" t="s">
        <v>42</v>
      </c>
      <c r="J19" s="15" t="s">
        <v>43</v>
      </c>
      <c r="K19" s="14" t="str">
        <f t="shared" si="1"/>
        <v>01</v>
      </c>
      <c r="L19" s="14" t="s">
        <v>45</v>
      </c>
      <c r="M19" s="14" t="s">
        <v>172</v>
      </c>
      <c r="N19" s="14" t="s">
        <v>173</v>
      </c>
      <c r="O19" s="16">
        <v>46225.0</v>
      </c>
      <c r="Q19" s="16">
        <v>46195.0</v>
      </c>
    </row>
    <row r="20">
      <c r="A20" s="13">
        <v>19.0</v>
      </c>
      <c r="B20" s="14" t="s">
        <v>174</v>
      </c>
      <c r="C20" s="14" t="s">
        <v>175</v>
      </c>
      <c r="D20" s="14" t="s">
        <v>176</v>
      </c>
      <c r="E20" s="14" t="s">
        <v>177</v>
      </c>
      <c r="F20" s="14" t="s">
        <v>178</v>
      </c>
      <c r="G20" s="14" t="s">
        <v>146</v>
      </c>
      <c r="H20" s="13">
        <v>1.0</v>
      </c>
      <c r="I20" s="14" t="s">
        <v>42</v>
      </c>
      <c r="J20" s="15" t="s">
        <v>43</v>
      </c>
      <c r="K20" s="14" t="str">
        <f t="shared" si="1"/>
        <v>01</v>
      </c>
      <c r="L20" s="14" t="s">
        <v>45</v>
      </c>
      <c r="M20" s="14" t="s">
        <v>179</v>
      </c>
      <c r="N20" s="14" t="s">
        <v>180</v>
      </c>
      <c r="O20" s="16">
        <v>46297.0</v>
      </c>
      <c r="Q20" s="16">
        <v>46195.0</v>
      </c>
    </row>
    <row r="21">
      <c r="A21" s="13">
        <v>20.0</v>
      </c>
      <c r="B21" s="14" t="s">
        <v>181</v>
      </c>
      <c r="C21" s="14" t="s">
        <v>182</v>
      </c>
      <c r="D21" s="14" t="s">
        <v>183</v>
      </c>
      <c r="E21" s="14" t="s">
        <v>184</v>
      </c>
      <c r="F21" s="14" t="s">
        <v>40</v>
      </c>
      <c r="G21" s="14" t="s">
        <v>146</v>
      </c>
      <c r="H21" s="13">
        <v>1.0</v>
      </c>
      <c r="I21" s="14" t="s">
        <v>42</v>
      </c>
      <c r="J21" s="15" t="s">
        <v>43</v>
      </c>
      <c r="K21" s="14" t="str">
        <f t="shared" si="1"/>
        <v>01</v>
      </c>
      <c r="L21" s="14" t="s">
        <v>45</v>
      </c>
      <c r="M21" s="14" t="s">
        <v>185</v>
      </c>
      <c r="N21" s="14" t="s">
        <v>186</v>
      </c>
      <c r="O21" s="16">
        <v>46304.0</v>
      </c>
      <c r="Q21" s="16">
        <v>46198.0</v>
      </c>
    </row>
    <row r="22">
      <c r="A22" s="13">
        <v>21.0</v>
      </c>
      <c r="B22" s="14" t="s">
        <v>187</v>
      </c>
      <c r="C22" s="14" t="s">
        <v>188</v>
      </c>
      <c r="D22" s="14" t="s">
        <v>189</v>
      </c>
      <c r="E22" s="14" t="s">
        <v>190</v>
      </c>
      <c r="F22" s="14" t="s">
        <v>40</v>
      </c>
      <c r="G22" s="14" t="s">
        <v>191</v>
      </c>
      <c r="H22" s="13">
        <v>1.0</v>
      </c>
      <c r="I22" s="14" t="s">
        <v>61</v>
      </c>
      <c r="J22" s="15" t="s">
        <v>43</v>
      </c>
      <c r="K22" s="14" t="str">
        <f t="shared" si="1"/>
        <v>01</v>
      </c>
      <c r="L22" s="14" t="s">
        <v>45</v>
      </c>
      <c r="M22" s="14" t="s">
        <v>192</v>
      </c>
      <c r="N22" s="14" t="s">
        <v>193</v>
      </c>
      <c r="O22" s="14" t="s">
        <v>64</v>
      </c>
      <c r="P22" s="14" t="s">
        <v>195</v>
      </c>
      <c r="Q22" s="16">
        <v>46248.0</v>
      </c>
    </row>
    <row r="23">
      <c r="A23" s="13">
        <v>22.0</v>
      </c>
      <c r="B23" s="14" t="s">
        <v>196</v>
      </c>
      <c r="C23" s="14" t="s">
        <v>197</v>
      </c>
      <c r="D23" s="14" t="s">
        <v>198</v>
      </c>
      <c r="E23" s="14" t="s">
        <v>199</v>
      </c>
      <c r="F23" s="14" t="s">
        <v>200</v>
      </c>
      <c r="G23" s="14" t="s">
        <v>191</v>
      </c>
      <c r="H23" s="13">
        <v>1.0</v>
      </c>
      <c r="I23" s="14" t="s">
        <v>42</v>
      </c>
      <c r="J23" s="15" t="s">
        <v>43</v>
      </c>
      <c r="K23" s="14" t="str">
        <f t="shared" si="1"/>
        <v>01</v>
      </c>
      <c r="L23" s="14" t="s">
        <v>45</v>
      </c>
      <c r="M23" s="14" t="s">
        <v>201</v>
      </c>
      <c r="N23" s="14" t="s">
        <v>202</v>
      </c>
      <c r="O23" s="16">
        <v>46289.0</v>
      </c>
      <c r="Q23" s="16">
        <v>46217.0</v>
      </c>
    </row>
    <row r="24">
      <c r="A24" s="13">
        <v>23.0</v>
      </c>
      <c r="B24" s="14" t="s">
        <v>203</v>
      </c>
      <c r="C24" s="14" t="s">
        <v>204</v>
      </c>
      <c r="D24" s="14" t="s">
        <v>205</v>
      </c>
      <c r="E24" s="14" t="s">
        <v>206</v>
      </c>
      <c r="F24" s="14" t="s">
        <v>207</v>
      </c>
      <c r="G24" s="14" t="s">
        <v>191</v>
      </c>
      <c r="H24" s="13">
        <v>1.0</v>
      </c>
      <c r="I24" s="14" t="s">
        <v>61</v>
      </c>
      <c r="J24" s="15" t="s">
        <v>43</v>
      </c>
      <c r="K24" s="14" t="str">
        <f t="shared" si="1"/>
        <v>01</v>
      </c>
      <c r="L24" s="14" t="s">
        <v>45</v>
      </c>
      <c r="M24" s="14" t="s">
        <v>208</v>
      </c>
      <c r="N24" s="14" t="s">
        <v>209</v>
      </c>
      <c r="O24" s="14" t="s">
        <v>64</v>
      </c>
      <c r="P24" s="14" t="s">
        <v>210</v>
      </c>
      <c r="Q24" s="16">
        <v>46283.0</v>
      </c>
    </row>
    <row r="25">
      <c r="A25" s="13">
        <v>24.0</v>
      </c>
      <c r="B25" s="14" t="s">
        <v>211</v>
      </c>
      <c r="C25" s="14" t="s">
        <v>212</v>
      </c>
      <c r="D25" s="14" t="s">
        <v>213</v>
      </c>
      <c r="E25" s="14" t="s">
        <v>214</v>
      </c>
      <c r="F25" s="14" t="s">
        <v>60</v>
      </c>
      <c r="G25" s="14" t="s">
        <v>191</v>
      </c>
      <c r="H25" s="13">
        <v>1.0</v>
      </c>
      <c r="I25" s="14" t="s">
        <v>42</v>
      </c>
      <c r="J25" s="15" t="s">
        <v>43</v>
      </c>
      <c r="K25" s="14" t="str">
        <f t="shared" si="1"/>
        <v>01</v>
      </c>
      <c r="L25" s="14" t="s">
        <v>45</v>
      </c>
      <c r="M25" s="14" t="s">
        <v>215</v>
      </c>
      <c r="N25" s="14" t="s">
        <v>216</v>
      </c>
      <c r="O25" s="16">
        <v>46290.0</v>
      </c>
      <c r="Q25" s="16">
        <v>46224.0</v>
      </c>
    </row>
    <row r="26">
      <c r="A26" s="13">
        <v>25.0</v>
      </c>
      <c r="B26" s="14" t="s">
        <v>217</v>
      </c>
      <c r="C26" s="14" t="s">
        <v>218</v>
      </c>
      <c r="D26" s="14" t="s">
        <v>219</v>
      </c>
      <c r="E26" s="14" t="s">
        <v>220</v>
      </c>
      <c r="F26" s="14" t="s">
        <v>40</v>
      </c>
      <c r="G26" s="14" t="s">
        <v>222</v>
      </c>
      <c r="H26" s="13">
        <v>1.0</v>
      </c>
      <c r="I26" s="14" t="s">
        <v>61</v>
      </c>
      <c r="J26" s="15" t="s">
        <v>43</v>
      </c>
      <c r="K26" s="14" t="str">
        <f t="shared" si="1"/>
        <v>01</v>
      </c>
      <c r="L26" s="14" t="s">
        <v>45</v>
      </c>
      <c r="M26" s="14" t="s">
        <v>223</v>
      </c>
      <c r="N26" s="14" t="s">
        <v>224</v>
      </c>
      <c r="O26" s="14" t="s">
        <v>64</v>
      </c>
      <c r="P26" s="14" t="s">
        <v>225</v>
      </c>
      <c r="Q26" s="16">
        <v>46253.0</v>
      </c>
    </row>
    <row r="27">
      <c r="A27" s="13">
        <v>26.0</v>
      </c>
      <c r="B27" s="14" t="s">
        <v>226</v>
      </c>
      <c r="C27" s="14" t="s">
        <v>227</v>
      </c>
      <c r="D27" s="14" t="s">
        <v>228</v>
      </c>
      <c r="E27" s="14" t="s">
        <v>229</v>
      </c>
      <c r="F27" s="14" t="s">
        <v>40</v>
      </c>
      <c r="G27" s="14" t="s">
        <v>222</v>
      </c>
      <c r="H27" s="13">
        <v>1.0</v>
      </c>
      <c r="I27" s="14" t="s">
        <v>61</v>
      </c>
      <c r="J27" s="15" t="s">
        <v>43</v>
      </c>
      <c r="K27" s="14" t="str">
        <f t="shared" si="1"/>
        <v>01</v>
      </c>
      <c r="L27" s="14" t="s">
        <v>45</v>
      </c>
      <c r="M27" s="14" t="s">
        <v>230</v>
      </c>
      <c r="N27" s="14" t="s">
        <v>231</v>
      </c>
      <c r="O27" s="14" t="s">
        <v>64</v>
      </c>
      <c r="P27" s="14" t="s">
        <v>232</v>
      </c>
      <c r="Q27" s="16">
        <v>46231.0</v>
      </c>
    </row>
    <row r="28">
      <c r="A28" s="13">
        <v>27.0</v>
      </c>
      <c r="B28" s="14" t="s">
        <v>233</v>
      </c>
      <c r="C28" s="14" t="s">
        <v>234</v>
      </c>
      <c r="D28" s="14" t="s">
        <v>235</v>
      </c>
      <c r="E28" s="14" t="s">
        <v>236</v>
      </c>
      <c r="F28" s="14" t="s">
        <v>40</v>
      </c>
      <c r="G28" s="14" t="s">
        <v>222</v>
      </c>
      <c r="H28" s="13">
        <v>1.0</v>
      </c>
      <c r="I28" s="14" t="s">
        <v>42</v>
      </c>
      <c r="J28" s="15" t="s">
        <v>43</v>
      </c>
      <c r="K28" s="14" t="str">
        <f t="shared" si="1"/>
        <v>01</v>
      </c>
      <c r="L28" s="14" t="s">
        <v>45</v>
      </c>
      <c r="M28" s="14" t="s">
        <v>237</v>
      </c>
      <c r="N28" s="14" t="s">
        <v>238</v>
      </c>
      <c r="O28" s="16">
        <v>46291.0</v>
      </c>
      <c r="Q28" s="16">
        <v>46230.0</v>
      </c>
    </row>
    <row r="29">
      <c r="A29" s="13">
        <v>28.0</v>
      </c>
      <c r="B29" s="14" t="s">
        <v>240</v>
      </c>
      <c r="C29" s="14" t="s">
        <v>241</v>
      </c>
      <c r="D29" s="14" t="s">
        <v>242</v>
      </c>
      <c r="E29" s="14" t="s">
        <v>243</v>
      </c>
      <c r="F29" s="14" t="s">
        <v>60</v>
      </c>
      <c r="G29" s="14" t="s">
        <v>222</v>
      </c>
      <c r="H29" s="13">
        <v>1.0</v>
      </c>
      <c r="I29" s="14" t="s">
        <v>42</v>
      </c>
      <c r="J29" s="15" t="s">
        <v>43</v>
      </c>
      <c r="K29" s="14" t="str">
        <f t="shared" si="1"/>
        <v>01</v>
      </c>
      <c r="L29" s="14" t="s">
        <v>45</v>
      </c>
      <c r="M29" s="14" t="s">
        <v>244</v>
      </c>
      <c r="N29" s="14" t="s">
        <v>245</v>
      </c>
      <c r="O29" s="16">
        <v>46291.0</v>
      </c>
      <c r="Q29" s="16">
        <v>46230.0</v>
      </c>
    </row>
    <row r="30">
      <c r="A30" s="13">
        <v>29.0</v>
      </c>
      <c r="B30" s="14" t="s">
        <v>246</v>
      </c>
      <c r="C30" s="14" t="s">
        <v>247</v>
      </c>
      <c r="D30" s="14" t="s">
        <v>248</v>
      </c>
      <c r="E30" s="14" t="s">
        <v>249</v>
      </c>
      <c r="F30" s="14" t="s">
        <v>250</v>
      </c>
      <c r="G30" s="14" t="s">
        <v>222</v>
      </c>
      <c r="H30" s="13">
        <v>1.0</v>
      </c>
      <c r="I30" s="14" t="s">
        <v>42</v>
      </c>
      <c r="J30" s="15" t="s">
        <v>43</v>
      </c>
      <c r="K30" s="14" t="str">
        <f t="shared" si="1"/>
        <v>01</v>
      </c>
      <c r="L30" s="14" t="s">
        <v>45</v>
      </c>
      <c r="M30" s="14" t="s">
        <v>251</v>
      </c>
      <c r="N30" s="14" t="s">
        <v>252</v>
      </c>
      <c r="O30" s="16">
        <v>46291.0</v>
      </c>
      <c r="Q30" s="16">
        <v>46230.0</v>
      </c>
    </row>
    <row r="31">
      <c r="A31" s="13">
        <v>30.0</v>
      </c>
      <c r="B31" s="14" t="s">
        <v>246</v>
      </c>
      <c r="C31" s="14" t="s">
        <v>247</v>
      </c>
      <c r="D31" s="14" t="s">
        <v>248</v>
      </c>
      <c r="E31" s="14" t="s">
        <v>253</v>
      </c>
      <c r="F31" s="14" t="s">
        <v>40</v>
      </c>
      <c r="G31" s="14" t="s">
        <v>222</v>
      </c>
      <c r="H31" s="13">
        <v>1.0</v>
      </c>
      <c r="I31" s="14" t="s">
        <v>42</v>
      </c>
      <c r="J31" s="15" t="s">
        <v>43</v>
      </c>
      <c r="K31" s="14" t="str">
        <f t="shared" si="1"/>
        <v>01</v>
      </c>
      <c r="L31" s="14" t="s">
        <v>45</v>
      </c>
      <c r="M31" s="14" t="s">
        <v>255</v>
      </c>
      <c r="N31" s="14" t="s">
        <v>256</v>
      </c>
      <c r="O31" s="16">
        <v>46290.0</v>
      </c>
      <c r="Q31" s="16">
        <v>46230.0</v>
      </c>
    </row>
    <row r="32">
      <c r="A32" s="13">
        <v>31.0</v>
      </c>
      <c r="B32" s="14" t="s">
        <v>257</v>
      </c>
      <c r="C32" s="14" t="s">
        <v>258</v>
      </c>
      <c r="D32" s="14" t="s">
        <v>259</v>
      </c>
      <c r="E32" s="14" t="s">
        <v>260</v>
      </c>
      <c r="F32" s="14" t="s">
        <v>250</v>
      </c>
      <c r="G32" s="14" t="s">
        <v>261</v>
      </c>
      <c r="H32" s="13">
        <v>1.0</v>
      </c>
      <c r="I32" s="14" t="s">
        <v>42</v>
      </c>
      <c r="J32" s="15" t="s">
        <v>43</v>
      </c>
      <c r="K32" s="14" t="str">
        <f t="shared" si="1"/>
        <v>01</v>
      </c>
      <c r="L32" s="14" t="s">
        <v>45</v>
      </c>
      <c r="M32" s="14" t="s">
        <v>262</v>
      </c>
      <c r="N32" s="14" t="s">
        <v>263</v>
      </c>
      <c r="O32" s="16">
        <v>46318.0</v>
      </c>
      <c r="Q32" s="16">
        <v>46232.0</v>
      </c>
    </row>
    <row r="33">
      <c r="A33" s="13">
        <v>32.0</v>
      </c>
      <c r="B33" s="14" t="s">
        <v>264</v>
      </c>
      <c r="C33" s="14" t="s">
        <v>265</v>
      </c>
      <c r="D33" s="14" t="s">
        <v>266</v>
      </c>
      <c r="E33" s="14" t="s">
        <v>267</v>
      </c>
      <c r="F33" s="14" t="s">
        <v>60</v>
      </c>
      <c r="G33" s="14" t="s">
        <v>261</v>
      </c>
      <c r="H33" s="13">
        <v>1.0</v>
      </c>
      <c r="I33" s="14" t="s">
        <v>42</v>
      </c>
      <c r="J33" s="15" t="s">
        <v>43</v>
      </c>
      <c r="K33" s="14" t="str">
        <f t="shared" si="1"/>
        <v>01</v>
      </c>
      <c r="L33" s="14" t="s">
        <v>45</v>
      </c>
      <c r="M33" s="14" t="s">
        <v>269</v>
      </c>
      <c r="N33" s="14" t="s">
        <v>270</v>
      </c>
      <c r="O33" s="16">
        <v>46290.0</v>
      </c>
      <c r="P33" s="14" t="s">
        <v>271</v>
      </c>
      <c r="Q33" s="16">
        <v>46294.0</v>
      </c>
    </row>
    <row r="34">
      <c r="A34" s="13">
        <v>33.0</v>
      </c>
      <c r="B34" s="14" t="s">
        <v>272</v>
      </c>
      <c r="C34" s="14" t="s">
        <v>273</v>
      </c>
      <c r="D34" s="14" t="s">
        <v>274</v>
      </c>
      <c r="E34" s="14" t="s">
        <v>275</v>
      </c>
      <c r="F34" s="14" t="s">
        <v>40</v>
      </c>
      <c r="G34" s="14" t="s">
        <v>261</v>
      </c>
      <c r="H34" s="13">
        <v>1.0</v>
      </c>
      <c r="I34" s="14" t="s">
        <v>42</v>
      </c>
      <c r="J34" s="15" t="s">
        <v>43</v>
      </c>
      <c r="K34" s="14" t="str">
        <f t="shared" si="1"/>
        <v>01</v>
      </c>
      <c r="L34" s="14" t="s">
        <v>45</v>
      </c>
      <c r="M34" s="14" t="s">
        <v>276</v>
      </c>
      <c r="N34" s="14" t="s">
        <v>277</v>
      </c>
      <c r="O34" s="16">
        <v>46318.0</v>
      </c>
      <c r="Q34" s="16">
        <v>46233.0</v>
      </c>
    </row>
    <row r="35">
      <c r="A35" s="13">
        <v>34.0</v>
      </c>
      <c r="B35" s="14" t="s">
        <v>278</v>
      </c>
      <c r="C35" s="14" t="s">
        <v>279</v>
      </c>
      <c r="D35" s="14" t="s">
        <v>280</v>
      </c>
      <c r="E35" s="14" t="s">
        <v>281</v>
      </c>
      <c r="F35" s="14" t="s">
        <v>40</v>
      </c>
      <c r="G35" s="14" t="s">
        <v>261</v>
      </c>
      <c r="H35" s="13">
        <v>1.0</v>
      </c>
      <c r="I35" s="14" t="s">
        <v>42</v>
      </c>
      <c r="J35" s="15" t="s">
        <v>43</v>
      </c>
      <c r="K35" s="14" t="str">
        <f t="shared" si="1"/>
        <v>01</v>
      </c>
      <c r="L35" s="14" t="s">
        <v>45</v>
      </c>
      <c r="M35" s="14" t="s">
        <v>283</v>
      </c>
      <c r="N35" s="14" t="s">
        <v>284</v>
      </c>
      <c r="O35" s="16">
        <v>46290.0</v>
      </c>
      <c r="P35" s="14" t="s">
        <v>285</v>
      </c>
      <c r="Q35" s="16">
        <v>46252.0</v>
      </c>
    </row>
    <row r="36">
      <c r="A36" s="13">
        <v>35.0</v>
      </c>
      <c r="B36" s="14" t="s">
        <v>286</v>
      </c>
      <c r="C36" s="14" t="s">
        <v>287</v>
      </c>
      <c r="D36" s="14" t="s">
        <v>288</v>
      </c>
      <c r="E36" s="14" t="s">
        <v>289</v>
      </c>
      <c r="F36" s="14" t="s">
        <v>162</v>
      </c>
      <c r="G36" s="14" t="s">
        <v>261</v>
      </c>
      <c r="H36" s="13">
        <v>1.0</v>
      </c>
      <c r="I36" s="14" t="s">
        <v>61</v>
      </c>
      <c r="J36" s="15" t="s">
        <v>43</v>
      </c>
      <c r="K36" s="14" t="str">
        <f t="shared" si="1"/>
        <v>01</v>
      </c>
      <c r="L36" s="14" t="s">
        <v>45</v>
      </c>
      <c r="M36" s="14" t="s">
        <v>290</v>
      </c>
      <c r="N36" s="14" t="s">
        <v>291</v>
      </c>
      <c r="O36" s="14" t="s">
        <v>64</v>
      </c>
      <c r="P36" s="14" t="s">
        <v>292</v>
      </c>
      <c r="Q36" s="16">
        <v>46233.0</v>
      </c>
    </row>
    <row r="37">
      <c r="A37" s="13">
        <v>36.0</v>
      </c>
      <c r="B37" s="14" t="s">
        <v>293</v>
      </c>
      <c r="C37" s="14" t="s">
        <v>294</v>
      </c>
      <c r="D37" s="14" t="s">
        <v>295</v>
      </c>
      <c r="E37" s="14" t="s">
        <v>296</v>
      </c>
      <c r="F37" s="14" t="s">
        <v>60</v>
      </c>
      <c r="G37" s="14" t="s">
        <v>297</v>
      </c>
      <c r="H37" s="13">
        <v>1.0</v>
      </c>
      <c r="I37" s="14" t="s">
        <v>42</v>
      </c>
      <c r="J37" s="15" t="s">
        <v>43</v>
      </c>
      <c r="K37" s="14" t="str">
        <f t="shared" si="1"/>
        <v>01</v>
      </c>
      <c r="L37" s="14" t="s">
        <v>45</v>
      </c>
      <c r="M37" s="14" t="s">
        <v>299</v>
      </c>
      <c r="N37" s="14" t="s">
        <v>300</v>
      </c>
      <c r="O37" s="16">
        <v>46300.0</v>
      </c>
      <c r="P37" s="14" t="s">
        <v>301</v>
      </c>
      <c r="Q37" s="16">
        <v>46282.0</v>
      </c>
    </row>
    <row r="38">
      <c r="A38" s="13">
        <v>37.0</v>
      </c>
      <c r="B38" s="14" t="s">
        <v>302</v>
      </c>
      <c r="C38" s="14" t="s">
        <v>303</v>
      </c>
      <c r="D38" s="14" t="s">
        <v>304</v>
      </c>
      <c r="E38" s="14" t="s">
        <v>305</v>
      </c>
      <c r="F38" s="14" t="s">
        <v>162</v>
      </c>
      <c r="G38" s="14" t="s">
        <v>261</v>
      </c>
      <c r="H38" s="13">
        <v>1.0</v>
      </c>
      <c r="I38" s="14" t="s">
        <v>61</v>
      </c>
      <c r="J38" s="15" t="s">
        <v>43</v>
      </c>
      <c r="K38" s="14" t="str">
        <f t="shared" si="1"/>
        <v>01</v>
      </c>
      <c r="L38" s="14" t="s">
        <v>45</v>
      </c>
      <c r="M38" s="14" t="s">
        <v>307</v>
      </c>
      <c r="N38" s="14" t="s">
        <v>308</v>
      </c>
      <c r="O38" s="14" t="s">
        <v>64</v>
      </c>
      <c r="P38" s="14" t="s">
        <v>309</v>
      </c>
      <c r="Q38" s="16">
        <v>46271.0</v>
      </c>
    </row>
    <row r="39">
      <c r="A39" s="13">
        <v>38.0</v>
      </c>
      <c r="B39" s="14" t="s">
        <v>310</v>
      </c>
      <c r="C39" s="14" t="s">
        <v>311</v>
      </c>
      <c r="D39" s="14" t="s">
        <v>313</v>
      </c>
      <c r="E39" s="14" t="s">
        <v>314</v>
      </c>
      <c r="F39" s="14" t="s">
        <v>162</v>
      </c>
      <c r="G39" s="14" t="s">
        <v>261</v>
      </c>
      <c r="H39" s="13">
        <v>1.0</v>
      </c>
      <c r="I39" s="14" t="s">
        <v>61</v>
      </c>
      <c r="J39" s="15" t="s">
        <v>43</v>
      </c>
      <c r="K39" s="14" t="str">
        <f t="shared" si="1"/>
        <v>01</v>
      </c>
      <c r="L39" s="14" t="s">
        <v>45</v>
      </c>
      <c r="M39" s="14" t="s">
        <v>315</v>
      </c>
      <c r="N39" s="14" t="s">
        <v>316</v>
      </c>
      <c r="O39" s="14" t="s">
        <v>64</v>
      </c>
      <c r="P39" s="14" t="s">
        <v>317</v>
      </c>
      <c r="Q39" s="16">
        <v>46252.0</v>
      </c>
    </row>
    <row r="40">
      <c r="A40" s="13">
        <v>39.0</v>
      </c>
      <c r="B40" s="14" t="s">
        <v>318</v>
      </c>
      <c r="C40" s="14" t="s">
        <v>319</v>
      </c>
      <c r="D40" s="14" t="s">
        <v>320</v>
      </c>
      <c r="E40" s="14" t="s">
        <v>321</v>
      </c>
      <c r="F40" s="14" t="s">
        <v>70</v>
      </c>
      <c r="G40" s="14" t="s">
        <v>261</v>
      </c>
      <c r="H40" s="13">
        <v>1.0</v>
      </c>
      <c r="I40" s="14" t="s">
        <v>42</v>
      </c>
      <c r="J40" s="15" t="s">
        <v>43</v>
      </c>
      <c r="K40" s="14" t="str">
        <f t="shared" si="1"/>
        <v>01</v>
      </c>
      <c r="L40" s="14" t="s">
        <v>45</v>
      </c>
      <c r="M40" s="14" t="s">
        <v>322</v>
      </c>
      <c r="N40" s="14" t="s">
        <v>323</v>
      </c>
      <c r="O40" s="16">
        <v>46290.0</v>
      </c>
      <c r="P40" s="14" t="s">
        <v>324</v>
      </c>
      <c r="Q40" s="16">
        <v>46273.0</v>
      </c>
    </row>
    <row r="41">
      <c r="A41" s="13">
        <v>40.0</v>
      </c>
      <c r="B41" s="14" t="s">
        <v>325</v>
      </c>
      <c r="C41" s="14" t="s">
        <v>326</v>
      </c>
      <c r="D41" s="14" t="s">
        <v>327</v>
      </c>
      <c r="E41" s="14" t="s">
        <v>328</v>
      </c>
      <c r="F41" s="14" t="s">
        <v>70</v>
      </c>
      <c r="G41" s="14" t="s">
        <v>329</v>
      </c>
      <c r="H41" s="13">
        <v>1.0</v>
      </c>
      <c r="I41" s="14" t="s">
        <v>42</v>
      </c>
      <c r="J41" s="15" t="s">
        <v>43</v>
      </c>
      <c r="K41" s="14" t="str">
        <f t="shared" si="1"/>
        <v>01</v>
      </c>
      <c r="L41" s="14" t="s">
        <v>45</v>
      </c>
      <c r="M41" s="14" t="s">
        <v>330</v>
      </c>
      <c r="N41" s="14" t="s">
        <v>331</v>
      </c>
      <c r="O41" s="16">
        <v>46292.0</v>
      </c>
      <c r="Q41" s="16">
        <v>46261.0</v>
      </c>
    </row>
    <row r="42">
      <c r="A42" s="13">
        <v>41.0</v>
      </c>
      <c r="B42" s="14" t="s">
        <v>333</v>
      </c>
      <c r="C42" s="14" t="s">
        <v>334</v>
      </c>
      <c r="D42" s="14" t="s">
        <v>335</v>
      </c>
      <c r="E42" s="14" t="s">
        <v>336</v>
      </c>
      <c r="F42" s="14" t="s">
        <v>70</v>
      </c>
      <c r="G42" s="14" t="s">
        <v>329</v>
      </c>
      <c r="H42" s="13">
        <v>1.0</v>
      </c>
      <c r="I42" s="14" t="s">
        <v>42</v>
      </c>
      <c r="J42" s="15" t="s">
        <v>43</v>
      </c>
      <c r="K42" s="14" t="str">
        <f t="shared" si="1"/>
        <v>01</v>
      </c>
      <c r="L42" s="14" t="s">
        <v>45</v>
      </c>
      <c r="M42" s="14" t="s">
        <v>337</v>
      </c>
      <c r="N42" s="14" t="s">
        <v>338</v>
      </c>
      <c r="O42" s="16">
        <v>46353.0</v>
      </c>
      <c r="P42" s="14" t="s">
        <v>339</v>
      </c>
      <c r="Q42" s="16">
        <v>46269.0</v>
      </c>
    </row>
    <row r="43">
      <c r="A43" s="13">
        <v>42.0</v>
      </c>
      <c r="B43" s="14" t="s">
        <v>340</v>
      </c>
      <c r="C43" s="14" t="s">
        <v>341</v>
      </c>
      <c r="D43" s="14" t="s">
        <v>342</v>
      </c>
      <c r="E43" s="14" t="s">
        <v>343</v>
      </c>
      <c r="F43" s="14" t="s">
        <v>207</v>
      </c>
      <c r="G43" s="14" t="s">
        <v>329</v>
      </c>
      <c r="H43" s="13">
        <v>1.0</v>
      </c>
      <c r="I43" s="14" t="s">
        <v>42</v>
      </c>
      <c r="J43" s="15" t="s">
        <v>43</v>
      </c>
      <c r="K43" s="14" t="str">
        <f t="shared" si="1"/>
        <v>01</v>
      </c>
      <c r="L43" s="14" t="s">
        <v>45</v>
      </c>
      <c r="M43" s="14" t="s">
        <v>344</v>
      </c>
      <c r="N43" s="14" t="s">
        <v>345</v>
      </c>
      <c r="O43" s="16">
        <v>46292.0</v>
      </c>
      <c r="P43" s="14" t="s">
        <v>346</v>
      </c>
      <c r="Q43" s="16">
        <v>46275.0</v>
      </c>
    </row>
    <row r="44">
      <c r="A44" s="13">
        <v>43.0</v>
      </c>
      <c r="B44" s="14" t="s">
        <v>79</v>
      </c>
      <c r="C44" s="14" t="s">
        <v>80</v>
      </c>
      <c r="D44" s="14" t="s">
        <v>81</v>
      </c>
      <c r="E44" s="14" t="s">
        <v>82</v>
      </c>
      <c r="F44" s="14" t="s">
        <v>40</v>
      </c>
      <c r="G44" s="14" t="s">
        <v>41</v>
      </c>
      <c r="H44" s="13">
        <v>1.0</v>
      </c>
      <c r="I44" s="14" t="s">
        <v>42</v>
      </c>
      <c r="J44" s="15" t="s">
        <v>348</v>
      </c>
      <c r="K44" s="14" t="str">
        <f t="shared" si="1"/>
        <v>01</v>
      </c>
      <c r="L44" s="14" t="s">
        <v>349</v>
      </c>
      <c r="M44" s="14" t="s">
        <v>350</v>
      </c>
      <c r="N44" s="14" t="s">
        <v>84</v>
      </c>
      <c r="O44" s="16">
        <v>46265.0</v>
      </c>
      <c r="Q44" s="16">
        <v>46167.0</v>
      </c>
    </row>
    <row r="45">
      <c r="A45" s="13">
        <v>44.0</v>
      </c>
      <c r="B45" s="14" t="s">
        <v>351</v>
      </c>
      <c r="C45" s="14" t="s">
        <v>352</v>
      </c>
      <c r="D45" s="14" t="s">
        <v>353</v>
      </c>
      <c r="E45" s="14" t="s">
        <v>354</v>
      </c>
      <c r="F45" s="14" t="s">
        <v>40</v>
      </c>
      <c r="G45" s="14" t="s">
        <v>109</v>
      </c>
      <c r="H45" s="13">
        <v>1.0</v>
      </c>
      <c r="I45" s="14" t="s">
        <v>61</v>
      </c>
      <c r="J45" s="15" t="s">
        <v>348</v>
      </c>
      <c r="K45" s="14" t="str">
        <f t="shared" si="1"/>
        <v>01</v>
      </c>
      <c r="L45" s="14" t="s">
        <v>349</v>
      </c>
      <c r="M45" s="14" t="s">
        <v>355</v>
      </c>
      <c r="N45" s="14" t="s">
        <v>356</v>
      </c>
      <c r="O45" s="14" t="s">
        <v>64</v>
      </c>
      <c r="P45" s="14" t="s">
        <v>357</v>
      </c>
      <c r="Q45" s="16">
        <v>46162.0</v>
      </c>
    </row>
    <row r="46">
      <c r="A46" s="13">
        <v>45.0</v>
      </c>
      <c r="B46" s="14" t="s">
        <v>358</v>
      </c>
      <c r="C46" s="14" t="s">
        <v>359</v>
      </c>
      <c r="D46" s="14" t="s">
        <v>360</v>
      </c>
      <c r="E46" s="14" t="s">
        <v>361</v>
      </c>
      <c r="F46" s="14" t="s">
        <v>40</v>
      </c>
      <c r="G46" s="14" t="s">
        <v>109</v>
      </c>
      <c r="H46" s="13">
        <v>1.0</v>
      </c>
      <c r="I46" s="14" t="s">
        <v>61</v>
      </c>
      <c r="J46" s="15" t="s">
        <v>348</v>
      </c>
      <c r="K46" s="14" t="str">
        <f t="shared" si="1"/>
        <v>01</v>
      </c>
      <c r="L46" s="14" t="s">
        <v>349</v>
      </c>
      <c r="M46" s="14" t="s">
        <v>362</v>
      </c>
      <c r="N46" s="14" t="s">
        <v>363</v>
      </c>
      <c r="O46" s="14" t="s">
        <v>64</v>
      </c>
      <c r="P46" s="14" t="s">
        <v>364</v>
      </c>
      <c r="Q46" s="16">
        <v>46184.0</v>
      </c>
    </row>
    <row r="47">
      <c r="A47" s="13">
        <v>46.0</v>
      </c>
      <c r="B47" s="14" t="s">
        <v>365</v>
      </c>
      <c r="C47" s="14" t="s">
        <v>366</v>
      </c>
      <c r="D47" s="14" t="s">
        <v>368</v>
      </c>
      <c r="E47" s="14" t="s">
        <v>369</v>
      </c>
      <c r="F47" s="14" t="s">
        <v>40</v>
      </c>
      <c r="G47" s="14" t="s">
        <v>109</v>
      </c>
      <c r="H47" s="13">
        <v>1.0</v>
      </c>
      <c r="I47" s="14" t="s">
        <v>42</v>
      </c>
      <c r="J47" s="15" t="s">
        <v>348</v>
      </c>
      <c r="K47" s="14" t="str">
        <f t="shared" si="1"/>
        <v>01</v>
      </c>
      <c r="L47" s="14" t="s">
        <v>349</v>
      </c>
      <c r="M47" s="14" t="s">
        <v>370</v>
      </c>
      <c r="N47" s="14" t="s">
        <v>371</v>
      </c>
      <c r="O47" s="16">
        <v>46285.0</v>
      </c>
      <c r="Q47" s="16">
        <v>46162.0</v>
      </c>
    </row>
    <row r="48">
      <c r="A48" s="13">
        <v>47.0</v>
      </c>
      <c r="B48" s="14" t="s">
        <v>372</v>
      </c>
      <c r="C48" s="14" t="s">
        <v>373</v>
      </c>
      <c r="D48" s="14" t="s">
        <v>374</v>
      </c>
      <c r="E48" s="14" t="s">
        <v>375</v>
      </c>
      <c r="F48" s="14" t="s">
        <v>40</v>
      </c>
      <c r="G48" s="14" t="s">
        <v>146</v>
      </c>
      <c r="H48" s="13">
        <v>1.0</v>
      </c>
      <c r="I48" s="14" t="s">
        <v>61</v>
      </c>
      <c r="J48" s="15" t="s">
        <v>348</v>
      </c>
      <c r="K48" s="14" t="str">
        <f t="shared" si="1"/>
        <v>01</v>
      </c>
      <c r="L48" s="14" t="s">
        <v>349</v>
      </c>
      <c r="M48" s="14" t="s">
        <v>376</v>
      </c>
      <c r="N48" s="14" t="s">
        <v>377</v>
      </c>
      <c r="O48" s="14" t="s">
        <v>64</v>
      </c>
      <c r="P48" s="14" t="s">
        <v>378</v>
      </c>
      <c r="Q48" s="16">
        <v>46195.0</v>
      </c>
    </row>
    <row r="49">
      <c r="A49" s="13">
        <v>48.0</v>
      </c>
      <c r="B49" s="14" t="s">
        <v>379</v>
      </c>
      <c r="C49" s="14" t="s">
        <v>380</v>
      </c>
      <c r="D49" s="14" t="s">
        <v>381</v>
      </c>
      <c r="E49" s="14" t="s">
        <v>382</v>
      </c>
      <c r="F49" s="14" t="s">
        <v>60</v>
      </c>
      <c r="G49" s="14" t="s">
        <v>146</v>
      </c>
      <c r="H49" s="13">
        <v>1.0</v>
      </c>
      <c r="I49" s="14" t="s">
        <v>42</v>
      </c>
      <c r="J49" s="15" t="s">
        <v>348</v>
      </c>
      <c r="K49" s="14" t="str">
        <f t="shared" si="1"/>
        <v>01</v>
      </c>
      <c r="L49" s="14" t="s">
        <v>349</v>
      </c>
      <c r="M49" s="14" t="s">
        <v>383</v>
      </c>
      <c r="N49" s="14" t="s">
        <v>384</v>
      </c>
      <c r="O49" s="16">
        <v>46310.0</v>
      </c>
      <c r="Q49" s="16">
        <v>46205.0</v>
      </c>
    </row>
    <row r="50">
      <c r="A50" s="13">
        <v>49.0</v>
      </c>
      <c r="B50" s="14" t="s">
        <v>385</v>
      </c>
      <c r="C50" s="14" t="s">
        <v>386</v>
      </c>
      <c r="D50" s="14" t="s">
        <v>387</v>
      </c>
      <c r="E50" s="14" t="s">
        <v>388</v>
      </c>
      <c r="F50" s="14" t="s">
        <v>40</v>
      </c>
      <c r="G50" s="14" t="s">
        <v>191</v>
      </c>
      <c r="H50" s="13">
        <v>1.0</v>
      </c>
      <c r="I50" s="14" t="s">
        <v>42</v>
      </c>
      <c r="J50" s="15" t="s">
        <v>348</v>
      </c>
      <c r="K50" s="14" t="str">
        <f t="shared" si="1"/>
        <v>01</v>
      </c>
      <c r="L50" s="14" t="s">
        <v>349</v>
      </c>
      <c r="M50" s="14" t="s">
        <v>390</v>
      </c>
      <c r="N50" s="14" t="s">
        <v>391</v>
      </c>
      <c r="O50" s="16">
        <v>46290.0</v>
      </c>
      <c r="Q50" s="16">
        <v>46211.0</v>
      </c>
    </row>
    <row r="51">
      <c r="A51" s="13">
        <v>50.0</v>
      </c>
      <c r="B51" s="14" t="s">
        <v>392</v>
      </c>
      <c r="C51" s="14" t="s">
        <v>393</v>
      </c>
      <c r="D51" s="14" t="s">
        <v>394</v>
      </c>
      <c r="E51" s="14" t="s">
        <v>395</v>
      </c>
      <c r="F51" s="14" t="s">
        <v>40</v>
      </c>
      <c r="G51" s="14" t="s">
        <v>191</v>
      </c>
      <c r="H51" s="13">
        <v>1.0</v>
      </c>
      <c r="I51" s="14" t="s">
        <v>42</v>
      </c>
      <c r="J51" s="15" t="s">
        <v>348</v>
      </c>
      <c r="K51" s="14" t="str">
        <f t="shared" si="1"/>
        <v>01</v>
      </c>
      <c r="L51" s="14" t="s">
        <v>349</v>
      </c>
      <c r="M51" s="14" t="s">
        <v>396</v>
      </c>
      <c r="N51" s="14" t="s">
        <v>397</v>
      </c>
      <c r="O51" s="16">
        <v>46299.0</v>
      </c>
      <c r="Q51" s="16">
        <v>46287.0</v>
      </c>
    </row>
    <row r="52">
      <c r="A52" s="13">
        <v>51.0</v>
      </c>
      <c r="B52" s="14" t="s">
        <v>398</v>
      </c>
      <c r="C52" s="14" t="s">
        <v>399</v>
      </c>
      <c r="D52" s="14" t="s">
        <v>400</v>
      </c>
      <c r="E52" s="14" t="s">
        <v>401</v>
      </c>
      <c r="F52" s="14" t="s">
        <v>40</v>
      </c>
      <c r="G52" s="14" t="s">
        <v>222</v>
      </c>
      <c r="H52" s="13">
        <v>1.0</v>
      </c>
      <c r="I52" s="14" t="s">
        <v>42</v>
      </c>
      <c r="J52" s="15" t="s">
        <v>348</v>
      </c>
      <c r="K52" s="14" t="str">
        <f t="shared" si="1"/>
        <v>01</v>
      </c>
      <c r="L52" s="14" t="s">
        <v>349</v>
      </c>
      <c r="M52" s="14" t="s">
        <v>402</v>
      </c>
      <c r="N52" s="14" t="s">
        <v>403</v>
      </c>
      <c r="O52" s="16">
        <v>46291.0</v>
      </c>
      <c r="P52" s="14" t="s">
        <v>405</v>
      </c>
      <c r="Q52" s="16">
        <v>46230.0</v>
      </c>
    </row>
    <row r="53">
      <c r="A53" s="13">
        <v>52.0</v>
      </c>
      <c r="B53" s="14" t="s">
        <v>240</v>
      </c>
      <c r="C53" s="14" t="s">
        <v>241</v>
      </c>
      <c r="D53" s="14" t="s">
        <v>242</v>
      </c>
      <c r="E53" s="14" t="s">
        <v>243</v>
      </c>
      <c r="F53" s="14" t="s">
        <v>60</v>
      </c>
      <c r="G53" s="14" t="s">
        <v>222</v>
      </c>
      <c r="H53" s="13">
        <v>1.0</v>
      </c>
      <c r="I53" s="14" t="s">
        <v>42</v>
      </c>
      <c r="J53" s="15" t="s">
        <v>348</v>
      </c>
      <c r="K53" s="14" t="str">
        <f t="shared" si="1"/>
        <v>01</v>
      </c>
      <c r="L53" s="14" t="s">
        <v>349</v>
      </c>
      <c r="M53" s="14" t="s">
        <v>406</v>
      </c>
      <c r="N53" s="14" t="s">
        <v>245</v>
      </c>
      <c r="O53" s="16">
        <v>46291.0</v>
      </c>
      <c r="Q53" s="16">
        <v>46230.0</v>
      </c>
    </row>
    <row r="54">
      <c r="A54" s="13">
        <v>53.0</v>
      </c>
      <c r="B54" s="14" t="s">
        <v>246</v>
      </c>
      <c r="C54" s="14" t="s">
        <v>247</v>
      </c>
      <c r="D54" s="14" t="s">
        <v>248</v>
      </c>
      <c r="E54" s="14" t="s">
        <v>407</v>
      </c>
      <c r="F54" s="14" t="s">
        <v>200</v>
      </c>
      <c r="G54" s="14" t="s">
        <v>222</v>
      </c>
      <c r="H54" s="13">
        <v>1.0</v>
      </c>
      <c r="I54" s="14" t="s">
        <v>42</v>
      </c>
      <c r="J54" s="15" t="s">
        <v>348</v>
      </c>
      <c r="K54" s="14" t="str">
        <f t="shared" si="1"/>
        <v>01</v>
      </c>
      <c r="L54" s="14" t="s">
        <v>349</v>
      </c>
      <c r="M54" s="14" t="s">
        <v>408</v>
      </c>
      <c r="N54" s="14" t="s">
        <v>409</v>
      </c>
      <c r="O54" s="16">
        <v>46291.0</v>
      </c>
      <c r="Q54" s="16">
        <v>46230.0</v>
      </c>
    </row>
    <row r="55">
      <c r="A55" s="13">
        <v>54.0</v>
      </c>
      <c r="B55" s="14" t="s">
        <v>246</v>
      </c>
      <c r="C55" s="14" t="s">
        <v>247</v>
      </c>
      <c r="D55" s="14" t="s">
        <v>248</v>
      </c>
      <c r="E55" s="14" t="s">
        <v>253</v>
      </c>
      <c r="F55" s="14" t="s">
        <v>40</v>
      </c>
      <c r="G55" s="14" t="s">
        <v>222</v>
      </c>
      <c r="H55" s="13">
        <v>1.0</v>
      </c>
      <c r="I55" s="14" t="s">
        <v>42</v>
      </c>
      <c r="J55" s="15" t="s">
        <v>348</v>
      </c>
      <c r="K55" s="14" t="str">
        <f t="shared" si="1"/>
        <v>01</v>
      </c>
      <c r="L55" s="14" t="s">
        <v>349</v>
      </c>
      <c r="M55" s="14" t="s">
        <v>410</v>
      </c>
      <c r="N55" s="14" t="s">
        <v>256</v>
      </c>
      <c r="O55" s="16">
        <v>46290.0</v>
      </c>
      <c r="Q55" s="16">
        <v>46230.0</v>
      </c>
    </row>
    <row r="56">
      <c r="A56" s="13">
        <v>55.0</v>
      </c>
      <c r="B56" s="14" t="s">
        <v>257</v>
      </c>
      <c r="C56" s="14" t="s">
        <v>258</v>
      </c>
      <c r="D56" s="14" t="s">
        <v>259</v>
      </c>
      <c r="E56" s="14" t="s">
        <v>260</v>
      </c>
      <c r="F56" s="14" t="s">
        <v>250</v>
      </c>
      <c r="G56" s="14" t="s">
        <v>261</v>
      </c>
      <c r="H56" s="13">
        <v>1.0</v>
      </c>
      <c r="I56" s="14" t="s">
        <v>42</v>
      </c>
      <c r="J56" s="15" t="s">
        <v>348</v>
      </c>
      <c r="K56" s="14" t="str">
        <f t="shared" si="1"/>
        <v>01</v>
      </c>
      <c r="L56" s="14" t="s">
        <v>349</v>
      </c>
      <c r="M56" s="14" t="s">
        <v>412</v>
      </c>
      <c r="N56" s="14" t="s">
        <v>263</v>
      </c>
      <c r="O56" s="16">
        <v>46318.0</v>
      </c>
      <c r="Q56" s="16">
        <v>46232.0</v>
      </c>
    </row>
    <row r="57">
      <c r="A57" s="13">
        <v>56.0</v>
      </c>
      <c r="B57" s="14" t="s">
        <v>413</v>
      </c>
      <c r="C57" s="14" t="s">
        <v>414</v>
      </c>
      <c r="D57" s="14" t="s">
        <v>415</v>
      </c>
      <c r="E57" s="14" t="s">
        <v>416</v>
      </c>
      <c r="F57" s="14" t="s">
        <v>178</v>
      </c>
      <c r="G57" s="14" t="s">
        <v>261</v>
      </c>
      <c r="H57" s="13">
        <v>1.0</v>
      </c>
      <c r="I57" s="14" t="s">
        <v>42</v>
      </c>
      <c r="J57" s="15" t="s">
        <v>348</v>
      </c>
      <c r="K57" s="14" t="str">
        <f t="shared" si="1"/>
        <v>01</v>
      </c>
      <c r="L57" s="14" t="s">
        <v>349</v>
      </c>
      <c r="M57" s="14" t="s">
        <v>417</v>
      </c>
      <c r="N57" s="14" t="s">
        <v>418</v>
      </c>
      <c r="O57" s="16">
        <v>46318.0</v>
      </c>
      <c r="P57" s="14" t="s">
        <v>419</v>
      </c>
      <c r="Q57" s="16">
        <v>46267.0</v>
      </c>
    </row>
    <row r="58">
      <c r="A58" s="13">
        <v>57.0</v>
      </c>
      <c r="B58" s="14" t="s">
        <v>325</v>
      </c>
      <c r="C58" s="14" t="s">
        <v>326</v>
      </c>
      <c r="D58" s="14" t="s">
        <v>327</v>
      </c>
      <c r="E58" s="14" t="s">
        <v>328</v>
      </c>
      <c r="F58" s="14" t="s">
        <v>70</v>
      </c>
      <c r="G58" s="14" t="s">
        <v>329</v>
      </c>
      <c r="H58" s="13">
        <v>1.0</v>
      </c>
      <c r="I58" s="14" t="s">
        <v>42</v>
      </c>
      <c r="J58" s="15" t="s">
        <v>348</v>
      </c>
      <c r="K58" s="14" t="str">
        <f t="shared" si="1"/>
        <v>01</v>
      </c>
      <c r="L58" s="14" t="s">
        <v>349</v>
      </c>
      <c r="M58" s="14" t="s">
        <v>420</v>
      </c>
      <c r="N58" s="14" t="s">
        <v>331</v>
      </c>
      <c r="O58" s="16">
        <v>46292.0</v>
      </c>
      <c r="Q58" s="16">
        <v>46261.0</v>
      </c>
    </row>
    <row r="59">
      <c r="A59" s="13">
        <v>58.0</v>
      </c>
      <c r="B59" s="14" t="s">
        <v>333</v>
      </c>
      <c r="C59" s="14" t="s">
        <v>334</v>
      </c>
      <c r="D59" s="14" t="s">
        <v>335</v>
      </c>
      <c r="E59" s="14" t="s">
        <v>336</v>
      </c>
      <c r="F59" s="14" t="s">
        <v>70</v>
      </c>
      <c r="G59" s="14" t="s">
        <v>329</v>
      </c>
      <c r="H59" s="13">
        <v>1.0</v>
      </c>
      <c r="I59" s="14" t="s">
        <v>42</v>
      </c>
      <c r="J59" s="15" t="s">
        <v>348</v>
      </c>
      <c r="K59" s="14" t="str">
        <f t="shared" si="1"/>
        <v>01</v>
      </c>
      <c r="L59" s="14" t="s">
        <v>349</v>
      </c>
      <c r="M59" s="14" t="s">
        <v>421</v>
      </c>
      <c r="N59" s="14" t="s">
        <v>338</v>
      </c>
      <c r="O59" s="16">
        <v>46353.0</v>
      </c>
      <c r="P59" s="14" t="s">
        <v>339</v>
      </c>
      <c r="Q59" s="16">
        <v>46269.0</v>
      </c>
    </row>
    <row r="60">
      <c r="A60" s="13">
        <v>59.0</v>
      </c>
      <c r="B60" s="14" t="s">
        <v>79</v>
      </c>
      <c r="C60" s="14" t="s">
        <v>80</v>
      </c>
      <c r="D60" s="14" t="s">
        <v>81</v>
      </c>
      <c r="E60" s="14" t="s">
        <v>82</v>
      </c>
      <c r="F60" s="14" t="s">
        <v>40</v>
      </c>
      <c r="G60" s="14" t="s">
        <v>41</v>
      </c>
      <c r="H60" s="13">
        <v>1.0</v>
      </c>
      <c r="I60" s="14" t="s">
        <v>42</v>
      </c>
      <c r="J60" s="15" t="s">
        <v>423</v>
      </c>
      <c r="K60" s="14" t="str">
        <f t="shared" si="1"/>
        <v>01</v>
      </c>
      <c r="L60" s="14" t="s">
        <v>424</v>
      </c>
      <c r="M60" s="14" t="s">
        <v>425</v>
      </c>
      <c r="N60" s="14" t="s">
        <v>84</v>
      </c>
      <c r="O60" s="16">
        <v>46265.0</v>
      </c>
      <c r="Q60" s="16">
        <v>46167.0</v>
      </c>
    </row>
    <row r="61">
      <c r="A61" s="13">
        <v>60.0</v>
      </c>
      <c r="B61" s="14" t="s">
        <v>426</v>
      </c>
      <c r="C61" s="14" t="s">
        <v>427</v>
      </c>
      <c r="D61" s="14" t="s">
        <v>429</v>
      </c>
      <c r="E61" s="14" t="s">
        <v>430</v>
      </c>
      <c r="F61" s="14" t="s">
        <v>250</v>
      </c>
      <c r="G61" s="14" t="s">
        <v>41</v>
      </c>
      <c r="H61" s="13">
        <v>1.0</v>
      </c>
      <c r="I61" s="14" t="s">
        <v>61</v>
      </c>
      <c r="J61" s="15" t="s">
        <v>423</v>
      </c>
      <c r="K61" s="14" t="str">
        <f t="shared" si="1"/>
        <v>01</v>
      </c>
      <c r="L61" s="14" t="s">
        <v>424</v>
      </c>
      <c r="M61" s="14" t="s">
        <v>431</v>
      </c>
      <c r="N61" s="14" t="s">
        <v>432</v>
      </c>
      <c r="O61" s="14" t="s">
        <v>64</v>
      </c>
      <c r="P61" s="14" t="s">
        <v>433</v>
      </c>
      <c r="Q61" s="16">
        <v>46161.0</v>
      </c>
    </row>
    <row r="62">
      <c r="A62" s="13">
        <v>61.0</v>
      </c>
      <c r="B62" s="14" t="s">
        <v>434</v>
      </c>
      <c r="C62" s="14" t="s">
        <v>435</v>
      </c>
      <c r="D62" s="14" t="s">
        <v>436</v>
      </c>
      <c r="E62" s="14" t="s">
        <v>437</v>
      </c>
      <c r="F62" s="14" t="s">
        <v>40</v>
      </c>
      <c r="G62" s="14" t="s">
        <v>41</v>
      </c>
      <c r="H62" s="13">
        <v>1.0</v>
      </c>
      <c r="I62" s="14" t="s">
        <v>61</v>
      </c>
      <c r="J62" s="15" t="s">
        <v>423</v>
      </c>
      <c r="K62" s="14" t="str">
        <f t="shared" si="1"/>
        <v>01</v>
      </c>
      <c r="L62" s="14" t="s">
        <v>424</v>
      </c>
      <c r="M62" s="14" t="s">
        <v>438</v>
      </c>
      <c r="N62" s="14" t="s">
        <v>439</v>
      </c>
      <c r="O62" s="14" t="s">
        <v>64</v>
      </c>
      <c r="P62" s="14" t="s">
        <v>440</v>
      </c>
      <c r="Q62" s="16">
        <v>46164.0</v>
      </c>
    </row>
    <row r="63">
      <c r="A63" s="13">
        <v>62.0</v>
      </c>
      <c r="B63" s="14" t="s">
        <v>365</v>
      </c>
      <c r="C63" s="14" t="s">
        <v>366</v>
      </c>
      <c r="D63" s="14" t="s">
        <v>368</v>
      </c>
      <c r="E63" s="14" t="s">
        <v>369</v>
      </c>
      <c r="F63" s="14" t="s">
        <v>40</v>
      </c>
      <c r="G63" s="14" t="s">
        <v>109</v>
      </c>
      <c r="H63" s="13">
        <v>1.0</v>
      </c>
      <c r="I63" s="14" t="s">
        <v>42</v>
      </c>
      <c r="J63" s="15" t="s">
        <v>423</v>
      </c>
      <c r="K63" s="14" t="str">
        <f t="shared" si="1"/>
        <v>01</v>
      </c>
      <c r="L63" s="14" t="s">
        <v>424</v>
      </c>
      <c r="M63" s="14" t="s">
        <v>442</v>
      </c>
      <c r="N63" s="14" t="s">
        <v>371</v>
      </c>
      <c r="O63" s="16">
        <v>46285.0</v>
      </c>
      <c r="Q63" s="16">
        <v>46162.0</v>
      </c>
    </row>
    <row r="64">
      <c r="A64" s="13">
        <v>63.0</v>
      </c>
      <c r="B64" s="14" t="s">
        <v>150</v>
      </c>
      <c r="C64" s="14" t="s">
        <v>151</v>
      </c>
      <c r="D64" s="14" t="s">
        <v>152</v>
      </c>
      <c r="E64" s="14" t="s">
        <v>153</v>
      </c>
      <c r="F64" s="14" t="s">
        <v>154</v>
      </c>
      <c r="G64" s="14" t="s">
        <v>146</v>
      </c>
      <c r="H64" s="13">
        <v>1.0</v>
      </c>
      <c r="I64" s="14" t="s">
        <v>61</v>
      </c>
      <c r="J64" s="15" t="s">
        <v>423</v>
      </c>
      <c r="K64" s="14" t="str">
        <f t="shared" si="1"/>
        <v>01</v>
      </c>
      <c r="L64" s="14" t="s">
        <v>424</v>
      </c>
      <c r="M64" s="14" t="s">
        <v>443</v>
      </c>
      <c r="N64" s="14" t="s">
        <v>156</v>
      </c>
      <c r="O64" s="14" t="s">
        <v>64</v>
      </c>
      <c r="P64" s="14" t="s">
        <v>445</v>
      </c>
      <c r="Q64" s="16">
        <v>46239.0</v>
      </c>
    </row>
    <row r="65">
      <c r="A65" s="13">
        <v>64.0</v>
      </c>
      <c r="B65" s="14" t="s">
        <v>158</v>
      </c>
      <c r="C65" s="14" t="s">
        <v>159</v>
      </c>
      <c r="D65" s="14" t="s">
        <v>160</v>
      </c>
      <c r="E65" s="14" t="s">
        <v>161</v>
      </c>
      <c r="F65" s="14" t="s">
        <v>162</v>
      </c>
      <c r="G65" s="14" t="s">
        <v>146</v>
      </c>
      <c r="H65" s="13">
        <v>1.0</v>
      </c>
      <c r="I65" s="14" t="s">
        <v>61</v>
      </c>
      <c r="J65" s="15" t="s">
        <v>423</v>
      </c>
      <c r="K65" s="14" t="str">
        <f t="shared" si="1"/>
        <v>01</v>
      </c>
      <c r="L65" s="14" t="s">
        <v>424</v>
      </c>
      <c r="M65" s="14" t="s">
        <v>446</v>
      </c>
      <c r="N65" s="14" t="s">
        <v>164</v>
      </c>
      <c r="O65" s="14" t="s">
        <v>64</v>
      </c>
      <c r="P65" s="14" t="s">
        <v>447</v>
      </c>
      <c r="Q65" s="16">
        <v>46275.0</v>
      </c>
    </row>
    <row r="66">
      <c r="A66" s="13">
        <v>65.0</v>
      </c>
      <c r="B66" s="14" t="s">
        <v>385</v>
      </c>
      <c r="C66" s="14" t="s">
        <v>386</v>
      </c>
      <c r="D66" s="14" t="s">
        <v>387</v>
      </c>
      <c r="E66" s="14" t="s">
        <v>388</v>
      </c>
      <c r="F66" s="14" t="s">
        <v>40</v>
      </c>
      <c r="G66" s="14" t="s">
        <v>191</v>
      </c>
      <c r="H66" s="13">
        <v>1.0</v>
      </c>
      <c r="I66" s="14" t="s">
        <v>42</v>
      </c>
      <c r="J66" s="15" t="s">
        <v>423</v>
      </c>
      <c r="K66" s="14" t="str">
        <f t="shared" si="1"/>
        <v>01</v>
      </c>
      <c r="L66" s="14" t="s">
        <v>424</v>
      </c>
      <c r="M66" s="14" t="s">
        <v>448</v>
      </c>
      <c r="N66" s="14" t="s">
        <v>391</v>
      </c>
      <c r="O66" s="16">
        <v>46290.0</v>
      </c>
      <c r="Q66" s="16">
        <v>46211.0</v>
      </c>
    </row>
    <row r="67">
      <c r="A67" s="13">
        <v>66.0</v>
      </c>
      <c r="B67" s="14" t="s">
        <v>392</v>
      </c>
      <c r="C67" s="14" t="s">
        <v>393</v>
      </c>
      <c r="D67" s="14" t="s">
        <v>394</v>
      </c>
      <c r="E67" s="14" t="s">
        <v>395</v>
      </c>
      <c r="F67" s="14" t="s">
        <v>40</v>
      </c>
      <c r="G67" s="14" t="s">
        <v>191</v>
      </c>
      <c r="H67" s="13">
        <v>1.0</v>
      </c>
      <c r="I67" s="14" t="s">
        <v>42</v>
      </c>
      <c r="J67" s="15" t="s">
        <v>423</v>
      </c>
      <c r="K67" s="14" t="str">
        <f t="shared" si="1"/>
        <v>01</v>
      </c>
      <c r="L67" s="14" t="s">
        <v>424</v>
      </c>
      <c r="M67" s="14" t="s">
        <v>450</v>
      </c>
      <c r="N67" s="14" t="s">
        <v>397</v>
      </c>
      <c r="O67" s="16">
        <v>46299.0</v>
      </c>
      <c r="P67" s="14" t="s">
        <v>451</v>
      </c>
      <c r="Q67" s="16">
        <v>46287.0</v>
      </c>
    </row>
    <row r="68">
      <c r="A68" s="13">
        <v>67.0</v>
      </c>
      <c r="B68" s="14" t="s">
        <v>452</v>
      </c>
      <c r="C68" s="14" t="s">
        <v>453</v>
      </c>
      <c r="D68" s="14" t="s">
        <v>454</v>
      </c>
      <c r="E68" s="14" t="s">
        <v>455</v>
      </c>
      <c r="F68" s="14" t="s">
        <v>40</v>
      </c>
      <c r="G68" s="14" t="s">
        <v>222</v>
      </c>
      <c r="H68" s="13">
        <v>1.0</v>
      </c>
      <c r="I68" s="14" t="s">
        <v>61</v>
      </c>
      <c r="J68" s="15" t="s">
        <v>423</v>
      </c>
      <c r="K68" s="14" t="str">
        <f t="shared" si="1"/>
        <v>01</v>
      </c>
      <c r="L68" s="14" t="s">
        <v>424</v>
      </c>
      <c r="M68" s="14" t="s">
        <v>456</v>
      </c>
      <c r="N68" s="14" t="s">
        <v>457</v>
      </c>
      <c r="O68" s="14" t="s">
        <v>64</v>
      </c>
      <c r="P68" s="14" t="s">
        <v>458</v>
      </c>
      <c r="Q68" s="16">
        <v>46275.0</v>
      </c>
    </row>
    <row r="69">
      <c r="A69" s="13">
        <v>68.0</v>
      </c>
      <c r="B69" s="14" t="s">
        <v>240</v>
      </c>
      <c r="C69" s="14" t="s">
        <v>241</v>
      </c>
      <c r="D69" s="14" t="s">
        <v>242</v>
      </c>
      <c r="E69" s="14" t="s">
        <v>243</v>
      </c>
      <c r="F69" s="14" t="s">
        <v>60</v>
      </c>
      <c r="G69" s="14" t="s">
        <v>222</v>
      </c>
      <c r="H69" s="13">
        <v>1.0</v>
      </c>
      <c r="I69" s="14" t="s">
        <v>42</v>
      </c>
      <c r="J69" s="15" t="s">
        <v>423</v>
      </c>
      <c r="K69" s="14" t="str">
        <f t="shared" si="1"/>
        <v>01</v>
      </c>
      <c r="L69" s="14" t="s">
        <v>424</v>
      </c>
      <c r="M69" s="14" t="s">
        <v>459</v>
      </c>
      <c r="N69" s="14" t="s">
        <v>245</v>
      </c>
      <c r="O69" s="16">
        <v>46291.0</v>
      </c>
      <c r="Q69" s="16">
        <v>46230.0</v>
      </c>
    </row>
    <row r="70">
      <c r="A70" s="13">
        <v>69.0</v>
      </c>
      <c r="B70" s="14" t="s">
        <v>460</v>
      </c>
      <c r="C70" s="14" t="s">
        <v>461</v>
      </c>
      <c r="D70" s="14" t="s">
        <v>462</v>
      </c>
      <c r="E70" s="14" t="s">
        <v>463</v>
      </c>
      <c r="F70" s="14" t="s">
        <v>40</v>
      </c>
      <c r="G70" s="14" t="s">
        <v>261</v>
      </c>
      <c r="H70" s="13">
        <v>1.0</v>
      </c>
      <c r="I70" s="14" t="s">
        <v>61</v>
      </c>
      <c r="J70" s="15" t="s">
        <v>423</v>
      </c>
      <c r="K70" s="14" t="str">
        <f t="shared" si="1"/>
        <v>01</v>
      </c>
      <c r="L70" s="14" t="s">
        <v>424</v>
      </c>
      <c r="M70" s="14" t="s">
        <v>465</v>
      </c>
      <c r="N70" s="14" t="s">
        <v>466</v>
      </c>
      <c r="O70" s="14" t="s">
        <v>64</v>
      </c>
      <c r="P70" s="14" t="s">
        <v>467</v>
      </c>
      <c r="Q70" s="16">
        <v>46255.0</v>
      </c>
    </row>
    <row r="71">
      <c r="A71" s="13">
        <v>70.0</v>
      </c>
      <c r="B71" s="14" t="s">
        <v>310</v>
      </c>
      <c r="C71" s="14" t="s">
        <v>311</v>
      </c>
      <c r="D71" s="14" t="s">
        <v>313</v>
      </c>
      <c r="E71" s="14" t="s">
        <v>314</v>
      </c>
      <c r="F71" s="14" t="s">
        <v>162</v>
      </c>
      <c r="G71" s="14" t="s">
        <v>261</v>
      </c>
      <c r="H71" s="13">
        <v>1.0</v>
      </c>
      <c r="I71" s="14" t="s">
        <v>61</v>
      </c>
      <c r="J71" s="15" t="s">
        <v>423</v>
      </c>
      <c r="K71" s="14" t="str">
        <f t="shared" si="1"/>
        <v>01</v>
      </c>
      <c r="L71" s="14" t="s">
        <v>424</v>
      </c>
      <c r="M71" s="14" t="s">
        <v>468</v>
      </c>
      <c r="N71" s="14" t="s">
        <v>316</v>
      </c>
      <c r="O71" s="14" t="s">
        <v>64</v>
      </c>
      <c r="P71" s="14" t="s">
        <v>469</v>
      </c>
      <c r="Q71" s="16">
        <v>46252.0</v>
      </c>
    </row>
    <row r="72">
      <c r="A72" s="13">
        <v>71.0</v>
      </c>
      <c r="B72" s="14" t="s">
        <v>470</v>
      </c>
      <c r="C72" s="14" t="s">
        <v>471</v>
      </c>
      <c r="D72" s="14" t="s">
        <v>472</v>
      </c>
      <c r="E72" s="14" t="s">
        <v>473</v>
      </c>
      <c r="F72" s="14" t="s">
        <v>60</v>
      </c>
      <c r="G72" s="14" t="s">
        <v>261</v>
      </c>
      <c r="H72" s="13">
        <v>1.0</v>
      </c>
      <c r="I72" s="14" t="s">
        <v>61</v>
      </c>
      <c r="J72" s="15" t="s">
        <v>423</v>
      </c>
      <c r="K72" s="14" t="str">
        <f t="shared" si="1"/>
        <v>01</v>
      </c>
      <c r="L72" s="14" t="s">
        <v>424</v>
      </c>
      <c r="M72" s="14" t="s">
        <v>474</v>
      </c>
      <c r="N72" s="14" t="s">
        <v>476</v>
      </c>
      <c r="O72" s="16">
        <v>46275.0</v>
      </c>
      <c r="P72" s="14" t="s">
        <v>477</v>
      </c>
      <c r="Q72" s="16">
        <v>46241.0</v>
      </c>
    </row>
    <row r="73">
      <c r="A73" s="13">
        <v>72.0</v>
      </c>
      <c r="B73" s="14" t="s">
        <v>478</v>
      </c>
      <c r="C73" s="14" t="s">
        <v>479</v>
      </c>
      <c r="D73" s="14" t="s">
        <v>480</v>
      </c>
      <c r="E73" s="14" t="s">
        <v>481</v>
      </c>
      <c r="F73" s="14" t="s">
        <v>70</v>
      </c>
      <c r="G73" s="14" t="s">
        <v>297</v>
      </c>
      <c r="H73" s="13">
        <v>1.0</v>
      </c>
      <c r="I73" s="14" t="s">
        <v>42</v>
      </c>
      <c r="J73" s="15" t="s">
        <v>423</v>
      </c>
      <c r="K73" s="14" t="str">
        <f t="shared" si="1"/>
        <v>01</v>
      </c>
      <c r="L73" s="14" t="s">
        <v>424</v>
      </c>
      <c r="M73" s="14" t="s">
        <v>482</v>
      </c>
      <c r="N73" s="14" t="s">
        <v>483</v>
      </c>
      <c r="O73" s="16">
        <v>46301.0</v>
      </c>
      <c r="Q73" s="16">
        <v>46238.0</v>
      </c>
    </row>
    <row r="74">
      <c r="A74" s="13">
        <v>73.0</v>
      </c>
      <c r="B74" s="14" t="s">
        <v>56</v>
      </c>
      <c r="C74" s="14" t="s">
        <v>57</v>
      </c>
      <c r="D74" s="14" t="s">
        <v>58</v>
      </c>
      <c r="E74" s="14" t="s">
        <v>59</v>
      </c>
      <c r="F74" s="14" t="s">
        <v>60</v>
      </c>
      <c r="G74" s="14" t="s">
        <v>41</v>
      </c>
      <c r="H74" s="13">
        <v>1.0</v>
      </c>
      <c r="I74" s="14" t="s">
        <v>61</v>
      </c>
      <c r="J74" s="15" t="s">
        <v>484</v>
      </c>
      <c r="K74" s="14" t="str">
        <f t="shared" si="1"/>
        <v>01</v>
      </c>
      <c r="L74" s="14" t="s">
        <v>485</v>
      </c>
      <c r="M74" s="14" t="s">
        <v>486</v>
      </c>
      <c r="N74" s="14" t="s">
        <v>63</v>
      </c>
      <c r="O74" s="14" t="s">
        <v>64</v>
      </c>
      <c r="P74" s="14" t="s">
        <v>487</v>
      </c>
      <c r="Q74" s="16">
        <v>46188.0</v>
      </c>
    </row>
    <row r="75">
      <c r="A75" s="13">
        <v>74.0</v>
      </c>
      <c r="B75" s="14" t="s">
        <v>196</v>
      </c>
      <c r="C75" s="14" t="s">
        <v>197</v>
      </c>
      <c r="D75" s="14" t="s">
        <v>198</v>
      </c>
      <c r="E75" s="14" t="s">
        <v>488</v>
      </c>
      <c r="F75" s="14" t="s">
        <v>489</v>
      </c>
      <c r="G75" s="14" t="s">
        <v>191</v>
      </c>
      <c r="H75" s="13">
        <v>1.0</v>
      </c>
      <c r="I75" s="14" t="s">
        <v>42</v>
      </c>
      <c r="J75" s="15" t="s">
        <v>484</v>
      </c>
      <c r="K75" s="14" t="str">
        <f t="shared" si="1"/>
        <v>01</v>
      </c>
      <c r="L75" s="14" t="s">
        <v>485</v>
      </c>
      <c r="M75" s="14" t="s">
        <v>490</v>
      </c>
      <c r="N75" s="14" t="s">
        <v>491</v>
      </c>
      <c r="O75" s="16">
        <v>46289.0</v>
      </c>
      <c r="Q75" s="16">
        <v>46217.0</v>
      </c>
    </row>
    <row r="76">
      <c r="A76" s="13">
        <v>75.0</v>
      </c>
      <c r="B76" s="14" t="s">
        <v>492</v>
      </c>
      <c r="C76" s="14" t="s">
        <v>493</v>
      </c>
      <c r="D76" s="14" t="s">
        <v>494</v>
      </c>
      <c r="E76" s="14" t="s">
        <v>495</v>
      </c>
      <c r="F76" s="14" t="s">
        <v>70</v>
      </c>
      <c r="G76" s="14" t="s">
        <v>191</v>
      </c>
      <c r="H76" s="13">
        <v>1.0</v>
      </c>
      <c r="I76" s="14" t="s">
        <v>61</v>
      </c>
      <c r="J76" s="15" t="s">
        <v>496</v>
      </c>
      <c r="K76" s="14" t="str">
        <f t="shared" si="1"/>
        <v>02</v>
      </c>
      <c r="L76" s="14" t="s">
        <v>497</v>
      </c>
      <c r="M76" s="14" t="s">
        <v>498</v>
      </c>
      <c r="N76" s="14" t="s">
        <v>499</v>
      </c>
      <c r="O76" s="14" t="s">
        <v>64</v>
      </c>
      <c r="P76" s="14" t="s">
        <v>500</v>
      </c>
      <c r="Q76" s="16">
        <v>46225.0</v>
      </c>
    </row>
    <row r="77">
      <c r="A77" s="13">
        <v>76.0</v>
      </c>
      <c r="B77" s="14" t="s">
        <v>264</v>
      </c>
      <c r="C77" s="14" t="s">
        <v>265</v>
      </c>
      <c r="D77" s="14" t="s">
        <v>266</v>
      </c>
      <c r="E77" s="14" t="s">
        <v>267</v>
      </c>
      <c r="F77" s="14" t="s">
        <v>60</v>
      </c>
      <c r="G77" s="14" t="s">
        <v>261</v>
      </c>
      <c r="H77" s="13">
        <v>1.0</v>
      </c>
      <c r="I77" s="14" t="s">
        <v>42</v>
      </c>
      <c r="J77" s="15" t="s">
        <v>496</v>
      </c>
      <c r="K77" s="14" t="str">
        <f t="shared" si="1"/>
        <v>02</v>
      </c>
      <c r="L77" s="14" t="s">
        <v>497</v>
      </c>
      <c r="M77" s="14" t="s">
        <v>501</v>
      </c>
      <c r="N77" s="14" t="s">
        <v>502</v>
      </c>
      <c r="O77" s="16">
        <v>46290.0</v>
      </c>
      <c r="P77" s="14" t="s">
        <v>503</v>
      </c>
      <c r="Q77" s="16">
        <v>46294.0</v>
      </c>
    </row>
    <row r="78">
      <c r="A78" s="13">
        <v>77.0</v>
      </c>
      <c r="B78" s="14" t="s">
        <v>504</v>
      </c>
      <c r="C78" s="14" t="s">
        <v>505</v>
      </c>
      <c r="D78" s="14" t="s">
        <v>506</v>
      </c>
      <c r="E78" s="14" t="s">
        <v>507</v>
      </c>
      <c r="F78" s="14" t="s">
        <v>70</v>
      </c>
      <c r="G78" s="14" t="s">
        <v>329</v>
      </c>
      <c r="H78" s="13">
        <v>1.0</v>
      </c>
      <c r="I78" s="14" t="s">
        <v>42</v>
      </c>
      <c r="J78" s="15" t="s">
        <v>496</v>
      </c>
      <c r="K78" s="14" t="str">
        <f t="shared" si="1"/>
        <v>02</v>
      </c>
      <c r="L78" s="14" t="s">
        <v>497</v>
      </c>
      <c r="M78" s="14" t="s">
        <v>508</v>
      </c>
      <c r="N78" s="14" t="s">
        <v>509</v>
      </c>
      <c r="O78" s="16">
        <v>46331.0</v>
      </c>
      <c r="P78" s="14" t="s">
        <v>510</v>
      </c>
      <c r="Q78" s="16">
        <v>46283.0</v>
      </c>
    </row>
    <row r="79">
      <c r="A79" s="13">
        <v>78.0</v>
      </c>
      <c r="B79" s="14" t="s">
        <v>511</v>
      </c>
      <c r="C79" s="14" t="s">
        <v>512</v>
      </c>
      <c r="D79" s="14" t="s">
        <v>513</v>
      </c>
      <c r="E79" s="14" t="s">
        <v>514</v>
      </c>
      <c r="F79" s="14" t="s">
        <v>40</v>
      </c>
      <c r="G79" s="14" t="s">
        <v>146</v>
      </c>
      <c r="H79" s="13">
        <v>1.0</v>
      </c>
      <c r="I79" s="14" t="s">
        <v>61</v>
      </c>
      <c r="J79" s="15" t="s">
        <v>515</v>
      </c>
      <c r="K79" s="14" t="str">
        <f t="shared" si="1"/>
        <v>02</v>
      </c>
      <c r="L79" s="14" t="s">
        <v>516</v>
      </c>
      <c r="M79" s="14" t="s">
        <v>517</v>
      </c>
      <c r="N79" s="14" t="s">
        <v>518</v>
      </c>
      <c r="O79" s="14" t="s">
        <v>64</v>
      </c>
      <c r="P79" s="14" t="s">
        <v>519</v>
      </c>
      <c r="Q79" s="16">
        <v>46217.0</v>
      </c>
    </row>
    <row r="80">
      <c r="A80" s="13">
        <v>79.0</v>
      </c>
      <c r="B80" s="14" t="s">
        <v>520</v>
      </c>
      <c r="C80" s="14" t="s">
        <v>521</v>
      </c>
      <c r="D80" s="14" t="s">
        <v>522</v>
      </c>
      <c r="E80" s="14" t="s">
        <v>523</v>
      </c>
      <c r="F80" s="14" t="s">
        <v>40</v>
      </c>
      <c r="G80" s="14" t="s">
        <v>261</v>
      </c>
      <c r="H80" s="13">
        <v>1.0</v>
      </c>
      <c r="I80" s="14" t="s">
        <v>42</v>
      </c>
      <c r="J80" s="15" t="s">
        <v>515</v>
      </c>
      <c r="K80" s="14" t="str">
        <f t="shared" si="1"/>
        <v>02</v>
      </c>
      <c r="L80" s="14" t="s">
        <v>516</v>
      </c>
      <c r="M80" s="14" t="s">
        <v>524</v>
      </c>
      <c r="N80" s="14" t="s">
        <v>525</v>
      </c>
      <c r="O80" s="16">
        <v>46316.0</v>
      </c>
      <c r="Q80" s="16">
        <v>46232.0</v>
      </c>
    </row>
    <row r="81">
      <c r="A81" s="13">
        <v>80.0</v>
      </c>
      <c r="B81" s="14" t="s">
        <v>246</v>
      </c>
      <c r="C81" s="14" t="s">
        <v>247</v>
      </c>
      <c r="D81" s="14" t="s">
        <v>248</v>
      </c>
      <c r="E81" s="14" t="s">
        <v>526</v>
      </c>
      <c r="F81" s="14" t="s">
        <v>527</v>
      </c>
      <c r="G81" s="14" t="s">
        <v>222</v>
      </c>
      <c r="H81" s="13">
        <v>1.0</v>
      </c>
      <c r="I81" s="14" t="s">
        <v>42</v>
      </c>
      <c r="J81" s="15" t="s">
        <v>528</v>
      </c>
      <c r="K81" s="14" t="str">
        <f t="shared" si="1"/>
        <v>03</v>
      </c>
      <c r="L81" s="14" t="s">
        <v>529</v>
      </c>
      <c r="M81" s="14" t="s">
        <v>530</v>
      </c>
      <c r="N81" s="14" t="s">
        <v>531</v>
      </c>
      <c r="O81" s="16">
        <v>46291.0</v>
      </c>
      <c r="P81" s="14" t="s">
        <v>532</v>
      </c>
      <c r="Q81" s="16">
        <v>46230.0</v>
      </c>
    </row>
    <row r="82">
      <c r="A82" s="13">
        <v>81.0</v>
      </c>
      <c r="B82" s="14" t="s">
        <v>533</v>
      </c>
      <c r="C82" s="14" t="s">
        <v>534</v>
      </c>
      <c r="D82" s="14" t="s">
        <v>535</v>
      </c>
      <c r="E82" s="14" t="s">
        <v>536</v>
      </c>
      <c r="F82" s="14" t="s">
        <v>250</v>
      </c>
      <c r="G82" s="14" t="s">
        <v>297</v>
      </c>
      <c r="H82" s="13">
        <v>1.0</v>
      </c>
      <c r="I82" s="14" t="s">
        <v>42</v>
      </c>
      <c r="J82" s="15" t="s">
        <v>528</v>
      </c>
      <c r="K82" s="14" t="str">
        <f t="shared" si="1"/>
        <v>03</v>
      </c>
      <c r="L82" s="14" t="s">
        <v>529</v>
      </c>
      <c r="M82" s="14" t="s">
        <v>537</v>
      </c>
      <c r="N82" s="14" t="s">
        <v>538</v>
      </c>
      <c r="O82" s="16">
        <v>46301.0</v>
      </c>
      <c r="Q82" s="16">
        <v>46238.0</v>
      </c>
    </row>
    <row r="83">
      <c r="A83" s="13">
        <v>82.0</v>
      </c>
      <c r="B83" s="14" t="s">
        <v>539</v>
      </c>
      <c r="C83" s="14" t="s">
        <v>540</v>
      </c>
      <c r="D83" s="14" t="s">
        <v>541</v>
      </c>
      <c r="E83" s="14" t="s">
        <v>542</v>
      </c>
      <c r="F83" s="14" t="s">
        <v>543</v>
      </c>
      <c r="G83" s="14" t="s">
        <v>329</v>
      </c>
      <c r="H83" s="13">
        <v>1.0</v>
      </c>
      <c r="I83" s="14" t="s">
        <v>61</v>
      </c>
      <c r="J83" s="15" t="s">
        <v>528</v>
      </c>
      <c r="K83" s="14" t="str">
        <f t="shared" si="1"/>
        <v>03</v>
      </c>
      <c r="L83" s="14" t="s">
        <v>529</v>
      </c>
      <c r="M83" s="14" t="s">
        <v>544</v>
      </c>
      <c r="N83" s="14" t="s">
        <v>545</v>
      </c>
      <c r="O83" s="14" t="s">
        <v>64</v>
      </c>
      <c r="P83" s="14" t="s">
        <v>546</v>
      </c>
      <c r="Q83" s="16">
        <v>46262.0</v>
      </c>
    </row>
    <row r="84">
      <c r="A84" s="13">
        <v>83.0</v>
      </c>
      <c r="B84" s="14" t="s">
        <v>547</v>
      </c>
      <c r="C84" s="14" t="s">
        <v>548</v>
      </c>
      <c r="D84" s="14" t="s">
        <v>549</v>
      </c>
      <c r="E84" s="14" t="s">
        <v>550</v>
      </c>
      <c r="F84" s="14" t="s">
        <v>551</v>
      </c>
      <c r="G84" s="14" t="s">
        <v>146</v>
      </c>
      <c r="H84" s="13">
        <v>2.0</v>
      </c>
      <c r="I84" s="14" t="s">
        <v>61</v>
      </c>
      <c r="J84" s="15" t="s">
        <v>552</v>
      </c>
      <c r="K84" s="14" t="str">
        <f t="shared" si="1"/>
        <v>02</v>
      </c>
      <c r="L84" s="14" t="s">
        <v>553</v>
      </c>
      <c r="M84" s="14" t="s">
        <v>554</v>
      </c>
      <c r="N84" s="14" t="s">
        <v>555</v>
      </c>
      <c r="O84" s="14" t="s">
        <v>64</v>
      </c>
      <c r="P84" s="14" t="s">
        <v>556</v>
      </c>
      <c r="Q84" s="16">
        <v>46225.0</v>
      </c>
    </row>
    <row r="85">
      <c r="A85" s="13">
        <v>84.0</v>
      </c>
      <c r="B85" s="14" t="s">
        <v>557</v>
      </c>
      <c r="C85" s="14" t="s">
        <v>558</v>
      </c>
      <c r="D85" s="14" t="s">
        <v>559</v>
      </c>
      <c r="E85" s="14" t="s">
        <v>560</v>
      </c>
      <c r="F85" s="14" t="s">
        <v>40</v>
      </c>
      <c r="G85" s="14" t="s">
        <v>124</v>
      </c>
      <c r="H85" s="13">
        <v>2.0</v>
      </c>
      <c r="I85" s="14" t="s">
        <v>42</v>
      </c>
      <c r="J85" s="15" t="s">
        <v>561</v>
      </c>
      <c r="K85" s="14" t="str">
        <f t="shared" si="1"/>
        <v>02</v>
      </c>
      <c r="L85" s="14" t="s">
        <v>562</v>
      </c>
      <c r="M85" s="14" t="s">
        <v>563</v>
      </c>
      <c r="N85" s="14" t="s">
        <v>564</v>
      </c>
      <c r="O85" s="16">
        <v>46284.0</v>
      </c>
      <c r="Q85" s="16">
        <v>46175.0</v>
      </c>
    </row>
    <row r="86">
      <c r="A86" s="13">
        <v>85.0</v>
      </c>
      <c r="B86" s="14" t="s">
        <v>142</v>
      </c>
      <c r="C86" s="14" t="s">
        <v>143</v>
      </c>
      <c r="D86" s="14" t="s">
        <v>144</v>
      </c>
      <c r="E86" s="14" t="s">
        <v>145</v>
      </c>
      <c r="F86" s="14" t="s">
        <v>40</v>
      </c>
      <c r="G86" s="14" t="s">
        <v>146</v>
      </c>
      <c r="H86" s="13">
        <v>2.0</v>
      </c>
      <c r="I86" s="14" t="s">
        <v>42</v>
      </c>
      <c r="J86" s="15" t="s">
        <v>561</v>
      </c>
      <c r="K86" s="14" t="str">
        <f t="shared" si="1"/>
        <v>02</v>
      </c>
      <c r="L86" s="14" t="s">
        <v>562</v>
      </c>
      <c r="M86" s="14" t="s">
        <v>565</v>
      </c>
      <c r="N86" s="14" t="s">
        <v>566</v>
      </c>
      <c r="O86" s="16">
        <v>46299.0</v>
      </c>
      <c r="Q86" s="16">
        <v>46195.0</v>
      </c>
    </row>
    <row r="87">
      <c r="A87" s="13">
        <v>86.0</v>
      </c>
      <c r="B87" s="14" t="s">
        <v>567</v>
      </c>
      <c r="C87" s="14" t="s">
        <v>568</v>
      </c>
      <c r="D87" s="14" t="s">
        <v>569</v>
      </c>
      <c r="E87" s="14" t="s">
        <v>570</v>
      </c>
      <c r="F87" s="14" t="s">
        <v>489</v>
      </c>
      <c r="G87" s="14" t="s">
        <v>191</v>
      </c>
      <c r="H87" s="13">
        <v>2.0</v>
      </c>
      <c r="I87" s="14" t="s">
        <v>61</v>
      </c>
      <c r="J87" s="15" t="s">
        <v>561</v>
      </c>
      <c r="K87" s="14" t="str">
        <f t="shared" si="1"/>
        <v>02</v>
      </c>
      <c r="L87" s="14" t="s">
        <v>562</v>
      </c>
      <c r="M87" s="14" t="s">
        <v>571</v>
      </c>
      <c r="N87" s="14" t="s">
        <v>572</v>
      </c>
      <c r="O87" s="14" t="s">
        <v>64</v>
      </c>
      <c r="P87" s="14" t="s">
        <v>573</v>
      </c>
      <c r="Q87" s="16">
        <v>46247.0</v>
      </c>
    </row>
    <row r="88">
      <c r="A88" s="13">
        <v>87.0</v>
      </c>
      <c r="B88" s="14" t="s">
        <v>246</v>
      </c>
      <c r="C88" s="14" t="s">
        <v>247</v>
      </c>
      <c r="D88" s="14" t="s">
        <v>248</v>
      </c>
      <c r="E88" s="14" t="s">
        <v>526</v>
      </c>
      <c r="F88" s="14" t="s">
        <v>527</v>
      </c>
      <c r="G88" s="14" t="s">
        <v>222</v>
      </c>
      <c r="H88" s="13">
        <v>2.0</v>
      </c>
      <c r="I88" s="14" t="s">
        <v>42</v>
      </c>
      <c r="J88" s="15" t="s">
        <v>561</v>
      </c>
      <c r="K88" s="14" t="str">
        <f t="shared" si="1"/>
        <v>02</v>
      </c>
      <c r="L88" s="14" t="s">
        <v>562</v>
      </c>
      <c r="M88" s="14" t="s">
        <v>574</v>
      </c>
      <c r="N88" s="14" t="s">
        <v>575</v>
      </c>
      <c r="O88" s="16">
        <v>46291.0</v>
      </c>
      <c r="P88" s="14" t="s">
        <v>576</v>
      </c>
      <c r="Q88" s="16">
        <v>46230.0</v>
      </c>
    </row>
    <row r="89">
      <c r="A89" s="13">
        <v>88.0</v>
      </c>
      <c r="B89" s="14" t="s">
        <v>246</v>
      </c>
      <c r="C89" s="14" t="s">
        <v>247</v>
      </c>
      <c r="D89" s="14" t="s">
        <v>248</v>
      </c>
      <c r="E89" s="14" t="s">
        <v>577</v>
      </c>
      <c r="F89" s="14" t="s">
        <v>489</v>
      </c>
      <c r="G89" s="14" t="s">
        <v>222</v>
      </c>
      <c r="H89" s="13">
        <v>2.0</v>
      </c>
      <c r="I89" s="14" t="s">
        <v>42</v>
      </c>
      <c r="J89" s="15" t="s">
        <v>561</v>
      </c>
      <c r="K89" s="14" t="str">
        <f t="shared" si="1"/>
        <v>02</v>
      </c>
      <c r="L89" s="14" t="s">
        <v>562</v>
      </c>
      <c r="M89" s="14" t="s">
        <v>578</v>
      </c>
      <c r="N89" s="14" t="s">
        <v>579</v>
      </c>
      <c r="O89" s="16">
        <v>46291.0</v>
      </c>
      <c r="P89" s="14" t="s">
        <v>580</v>
      </c>
      <c r="Q89" s="16">
        <v>46230.0</v>
      </c>
    </row>
    <row r="90">
      <c r="A90" s="13">
        <v>89.0</v>
      </c>
      <c r="B90" s="14" t="s">
        <v>286</v>
      </c>
      <c r="C90" s="14" t="s">
        <v>287</v>
      </c>
      <c r="D90" s="14" t="s">
        <v>288</v>
      </c>
      <c r="E90" s="14" t="s">
        <v>289</v>
      </c>
      <c r="F90" s="14" t="s">
        <v>162</v>
      </c>
      <c r="G90" s="14" t="s">
        <v>261</v>
      </c>
      <c r="H90" s="13">
        <v>2.0</v>
      </c>
      <c r="I90" s="14" t="s">
        <v>42</v>
      </c>
      <c r="J90" s="15" t="s">
        <v>561</v>
      </c>
      <c r="K90" s="14" t="str">
        <f t="shared" si="1"/>
        <v>02</v>
      </c>
      <c r="L90" s="14" t="s">
        <v>562</v>
      </c>
      <c r="M90" s="14" t="s">
        <v>581</v>
      </c>
      <c r="N90" s="14" t="s">
        <v>582</v>
      </c>
      <c r="O90" s="14" t="s">
        <v>64</v>
      </c>
      <c r="P90" s="14" t="s">
        <v>583</v>
      </c>
      <c r="Q90" s="16">
        <v>46233.0</v>
      </c>
    </row>
    <row r="91">
      <c r="A91" s="13">
        <v>90.0</v>
      </c>
      <c r="B91" s="14" t="s">
        <v>533</v>
      </c>
      <c r="C91" s="14" t="s">
        <v>534</v>
      </c>
      <c r="D91" s="14" t="s">
        <v>535</v>
      </c>
      <c r="E91" s="14" t="s">
        <v>536</v>
      </c>
      <c r="F91" s="14" t="s">
        <v>250</v>
      </c>
      <c r="G91" s="14" t="s">
        <v>297</v>
      </c>
      <c r="H91" s="13">
        <v>2.0</v>
      </c>
      <c r="I91" s="14" t="s">
        <v>42</v>
      </c>
      <c r="J91" s="15" t="s">
        <v>561</v>
      </c>
      <c r="K91" s="14" t="str">
        <f t="shared" si="1"/>
        <v>02</v>
      </c>
      <c r="L91" s="14" t="s">
        <v>562</v>
      </c>
      <c r="M91" s="14" t="s">
        <v>584</v>
      </c>
      <c r="N91" s="14" t="s">
        <v>585</v>
      </c>
      <c r="O91" s="16">
        <v>46301.0</v>
      </c>
      <c r="Q91" s="16">
        <v>46238.0</v>
      </c>
    </row>
    <row r="92">
      <c r="A92" s="13">
        <v>91.0</v>
      </c>
      <c r="B92" s="14" t="s">
        <v>586</v>
      </c>
      <c r="C92" s="14" t="s">
        <v>587</v>
      </c>
      <c r="D92" s="14" t="s">
        <v>588</v>
      </c>
      <c r="E92" s="14" t="s">
        <v>589</v>
      </c>
      <c r="F92" s="14" t="s">
        <v>40</v>
      </c>
      <c r="G92" s="14" t="s">
        <v>41</v>
      </c>
      <c r="H92" s="13">
        <v>2.0</v>
      </c>
      <c r="I92" s="14" t="s">
        <v>42</v>
      </c>
      <c r="J92" s="15" t="s">
        <v>590</v>
      </c>
      <c r="K92" s="14" t="str">
        <f t="shared" si="1"/>
        <v>03</v>
      </c>
      <c r="L92" s="14" t="s">
        <v>591</v>
      </c>
      <c r="M92" s="14" t="s">
        <v>592</v>
      </c>
      <c r="N92" s="14" t="s">
        <v>593</v>
      </c>
      <c r="O92" s="16">
        <v>46265.0</v>
      </c>
      <c r="Q92" s="16">
        <v>46147.0</v>
      </c>
    </row>
    <row r="93">
      <c r="A93" s="13">
        <v>92.0</v>
      </c>
      <c r="B93" s="14" t="s">
        <v>594</v>
      </c>
      <c r="C93" s="14" t="s">
        <v>595</v>
      </c>
      <c r="D93" s="14" t="s">
        <v>596</v>
      </c>
      <c r="E93" s="14" t="s">
        <v>597</v>
      </c>
      <c r="F93" s="14" t="s">
        <v>40</v>
      </c>
      <c r="G93" s="14" t="s">
        <v>41</v>
      </c>
      <c r="H93" s="13">
        <v>2.0</v>
      </c>
      <c r="I93" s="14" t="s">
        <v>42</v>
      </c>
      <c r="J93" s="15" t="s">
        <v>590</v>
      </c>
      <c r="K93" s="14" t="str">
        <f t="shared" si="1"/>
        <v>03</v>
      </c>
      <c r="L93" s="14" t="s">
        <v>591</v>
      </c>
      <c r="M93" s="14" t="s">
        <v>598</v>
      </c>
      <c r="N93" s="14" t="s">
        <v>599</v>
      </c>
      <c r="O93" s="16">
        <v>46269.0</v>
      </c>
      <c r="P93" s="14" t="s">
        <v>600</v>
      </c>
      <c r="Q93" s="16">
        <v>46185.0</v>
      </c>
    </row>
    <row r="94">
      <c r="A94" s="13">
        <v>93.0</v>
      </c>
      <c r="B94" s="14" t="s">
        <v>601</v>
      </c>
      <c r="C94" s="14" t="s">
        <v>602</v>
      </c>
      <c r="D94" s="14" t="s">
        <v>603</v>
      </c>
      <c r="E94" s="14" t="s">
        <v>604</v>
      </c>
      <c r="F94" s="14" t="s">
        <v>40</v>
      </c>
      <c r="G94" s="14" t="s">
        <v>109</v>
      </c>
      <c r="H94" s="13">
        <v>2.0</v>
      </c>
      <c r="I94" s="14" t="s">
        <v>61</v>
      </c>
      <c r="J94" s="15" t="s">
        <v>590</v>
      </c>
      <c r="K94" s="14" t="str">
        <f t="shared" si="1"/>
        <v>03</v>
      </c>
      <c r="L94" s="14" t="s">
        <v>591</v>
      </c>
      <c r="M94" s="14" t="s">
        <v>605</v>
      </c>
      <c r="N94" s="14" t="s">
        <v>606</v>
      </c>
      <c r="O94" s="14" t="s">
        <v>64</v>
      </c>
      <c r="P94" s="14" t="s">
        <v>607</v>
      </c>
      <c r="Q94" s="16">
        <v>46161.0</v>
      </c>
    </row>
    <row r="95">
      <c r="A95" s="13">
        <v>94.0</v>
      </c>
      <c r="B95" s="14" t="s">
        <v>608</v>
      </c>
      <c r="C95" s="14" t="s">
        <v>609</v>
      </c>
      <c r="D95" s="14" t="s">
        <v>610</v>
      </c>
      <c r="E95" s="14" t="s">
        <v>611</v>
      </c>
      <c r="F95" s="14" t="s">
        <v>40</v>
      </c>
      <c r="G95" s="14" t="s">
        <v>109</v>
      </c>
      <c r="H95" s="13">
        <v>2.0</v>
      </c>
      <c r="I95" s="14" t="s">
        <v>61</v>
      </c>
      <c r="J95" s="15" t="s">
        <v>590</v>
      </c>
      <c r="K95" s="14" t="str">
        <f t="shared" si="1"/>
        <v>03</v>
      </c>
      <c r="L95" s="14" t="s">
        <v>591</v>
      </c>
      <c r="M95" s="14" t="s">
        <v>612</v>
      </c>
      <c r="N95" s="14" t="s">
        <v>613</v>
      </c>
      <c r="O95" s="14" t="s">
        <v>64</v>
      </c>
      <c r="P95" s="14" t="s">
        <v>614</v>
      </c>
      <c r="Q95" s="16">
        <v>46210.0</v>
      </c>
    </row>
    <row r="96">
      <c r="A96" s="13">
        <v>95.0</v>
      </c>
      <c r="B96" s="14" t="s">
        <v>615</v>
      </c>
      <c r="C96" s="14" t="s">
        <v>616</v>
      </c>
      <c r="D96" s="14" t="s">
        <v>617</v>
      </c>
      <c r="E96" s="14" t="s">
        <v>618</v>
      </c>
      <c r="F96" s="14" t="s">
        <v>40</v>
      </c>
      <c r="G96" s="14" t="s">
        <v>109</v>
      </c>
      <c r="H96" s="13">
        <v>2.0</v>
      </c>
      <c r="I96" s="14" t="s">
        <v>42</v>
      </c>
      <c r="J96" s="15" t="s">
        <v>590</v>
      </c>
      <c r="K96" s="14" t="str">
        <f t="shared" si="1"/>
        <v>03</v>
      </c>
      <c r="L96" s="14" t="s">
        <v>591</v>
      </c>
      <c r="M96" s="14" t="s">
        <v>619</v>
      </c>
      <c r="N96" s="14" t="s">
        <v>620</v>
      </c>
      <c r="O96" s="16">
        <v>46234.0</v>
      </c>
      <c r="P96" s="14" t="s">
        <v>621</v>
      </c>
      <c r="Q96" s="16">
        <v>46161.0</v>
      </c>
    </row>
    <row r="97">
      <c r="A97" s="13">
        <v>96.0</v>
      </c>
      <c r="B97" s="14" t="s">
        <v>511</v>
      </c>
      <c r="C97" s="14" t="s">
        <v>512</v>
      </c>
      <c r="D97" s="14" t="s">
        <v>513</v>
      </c>
      <c r="E97" s="14" t="s">
        <v>514</v>
      </c>
      <c r="F97" s="14" t="s">
        <v>40</v>
      </c>
      <c r="G97" s="14" t="s">
        <v>146</v>
      </c>
      <c r="H97" s="13">
        <v>2.0</v>
      </c>
      <c r="I97" s="14" t="s">
        <v>61</v>
      </c>
      <c r="J97" s="15" t="s">
        <v>590</v>
      </c>
      <c r="K97" s="14" t="str">
        <f t="shared" si="1"/>
        <v>03</v>
      </c>
      <c r="L97" s="14" t="s">
        <v>591</v>
      </c>
      <c r="M97" s="14" t="s">
        <v>622</v>
      </c>
      <c r="N97" s="14" t="s">
        <v>623</v>
      </c>
      <c r="O97" s="14" t="s">
        <v>64</v>
      </c>
      <c r="P97" s="14" t="s">
        <v>624</v>
      </c>
      <c r="Q97" s="16">
        <v>46217.0</v>
      </c>
    </row>
    <row r="98">
      <c r="A98" s="13">
        <v>97.0</v>
      </c>
      <c r="B98" s="14" t="s">
        <v>625</v>
      </c>
      <c r="C98" s="14" t="s">
        <v>626</v>
      </c>
      <c r="D98" s="14" t="s">
        <v>627</v>
      </c>
      <c r="E98" s="14" t="s">
        <v>628</v>
      </c>
      <c r="F98" s="14" t="s">
        <v>60</v>
      </c>
      <c r="G98" s="14" t="s">
        <v>191</v>
      </c>
      <c r="H98" s="13">
        <v>2.0</v>
      </c>
      <c r="I98" s="14" t="s">
        <v>61</v>
      </c>
      <c r="J98" s="15" t="s">
        <v>590</v>
      </c>
      <c r="K98" s="14" t="str">
        <f t="shared" si="1"/>
        <v>03</v>
      </c>
      <c r="L98" s="14" t="s">
        <v>591</v>
      </c>
      <c r="M98" s="14" t="s">
        <v>629</v>
      </c>
      <c r="N98" s="14" t="s">
        <v>630</v>
      </c>
      <c r="O98" s="14" t="s">
        <v>64</v>
      </c>
      <c r="P98" s="14" t="s">
        <v>631</v>
      </c>
      <c r="Q98" s="16">
        <v>46220.0</v>
      </c>
    </row>
    <row r="99">
      <c r="A99" s="13">
        <v>98.0</v>
      </c>
      <c r="B99" s="14" t="s">
        <v>632</v>
      </c>
      <c r="C99" s="14" t="s">
        <v>633</v>
      </c>
      <c r="D99" s="14" t="s">
        <v>634</v>
      </c>
      <c r="E99" s="14" t="s">
        <v>635</v>
      </c>
      <c r="F99" s="14" t="s">
        <v>60</v>
      </c>
      <c r="G99" s="14" t="s">
        <v>191</v>
      </c>
      <c r="H99" s="13">
        <v>2.0</v>
      </c>
      <c r="I99" s="14" t="s">
        <v>42</v>
      </c>
      <c r="J99" s="15" t="s">
        <v>590</v>
      </c>
      <c r="K99" s="14" t="str">
        <f t="shared" si="1"/>
        <v>03</v>
      </c>
      <c r="L99" s="14" t="s">
        <v>591</v>
      </c>
      <c r="M99" s="14" t="s">
        <v>636</v>
      </c>
      <c r="N99" s="14" t="s">
        <v>637</v>
      </c>
      <c r="O99" s="16">
        <v>46290.0</v>
      </c>
      <c r="Q99" s="16">
        <v>46224.0</v>
      </c>
    </row>
    <row r="100">
      <c r="A100" s="13">
        <v>99.0</v>
      </c>
      <c r="B100" s="14" t="s">
        <v>638</v>
      </c>
      <c r="C100" s="14" t="s">
        <v>639</v>
      </c>
      <c r="D100" s="14" t="s">
        <v>640</v>
      </c>
      <c r="E100" s="14" t="s">
        <v>641</v>
      </c>
      <c r="F100" s="14" t="s">
        <v>40</v>
      </c>
      <c r="G100" s="14" t="s">
        <v>222</v>
      </c>
      <c r="H100" s="13">
        <v>2.0</v>
      </c>
      <c r="I100" s="14" t="s">
        <v>61</v>
      </c>
      <c r="J100" s="15" t="s">
        <v>590</v>
      </c>
      <c r="K100" s="14" t="str">
        <f t="shared" si="1"/>
        <v>03</v>
      </c>
      <c r="L100" s="14" t="s">
        <v>591</v>
      </c>
      <c r="M100" s="14" t="s">
        <v>642</v>
      </c>
      <c r="N100" s="14" t="s">
        <v>643</v>
      </c>
      <c r="O100" s="14" t="s">
        <v>64</v>
      </c>
      <c r="P100" s="14" t="s">
        <v>644</v>
      </c>
      <c r="Q100" s="16">
        <v>46230.0</v>
      </c>
    </row>
    <row r="101">
      <c r="A101" s="13">
        <v>100.0</v>
      </c>
      <c r="B101" s="14" t="s">
        <v>520</v>
      </c>
      <c r="C101" s="14" t="s">
        <v>521</v>
      </c>
      <c r="D101" s="14" t="s">
        <v>522</v>
      </c>
      <c r="E101" s="14" t="s">
        <v>523</v>
      </c>
      <c r="F101" s="14" t="s">
        <v>40</v>
      </c>
      <c r="G101" s="14" t="s">
        <v>261</v>
      </c>
      <c r="H101" s="13">
        <v>2.0</v>
      </c>
      <c r="I101" s="14" t="s">
        <v>42</v>
      </c>
      <c r="J101" s="15" t="s">
        <v>590</v>
      </c>
      <c r="K101" s="14" t="str">
        <f t="shared" si="1"/>
        <v>03</v>
      </c>
      <c r="L101" s="14" t="s">
        <v>591</v>
      </c>
      <c r="M101" s="14" t="s">
        <v>645</v>
      </c>
      <c r="N101" s="14" t="s">
        <v>646</v>
      </c>
      <c r="O101" s="16">
        <v>46316.0</v>
      </c>
      <c r="Q101" s="16">
        <v>46232.0</v>
      </c>
    </row>
    <row r="102">
      <c r="A102" s="13">
        <v>101.0</v>
      </c>
      <c r="B102" s="14" t="s">
        <v>647</v>
      </c>
      <c r="C102" s="14" t="s">
        <v>648</v>
      </c>
      <c r="D102" s="14" t="s">
        <v>649</v>
      </c>
      <c r="E102" s="14" t="s">
        <v>650</v>
      </c>
      <c r="F102" s="14" t="s">
        <v>40</v>
      </c>
      <c r="G102" s="14" t="s">
        <v>261</v>
      </c>
      <c r="H102" s="13">
        <v>2.0</v>
      </c>
      <c r="I102" s="14" t="s">
        <v>42</v>
      </c>
      <c r="J102" s="15" t="s">
        <v>590</v>
      </c>
      <c r="K102" s="14" t="str">
        <f t="shared" si="1"/>
        <v>03</v>
      </c>
      <c r="L102" s="14" t="s">
        <v>591</v>
      </c>
      <c r="M102" s="14" t="s">
        <v>651</v>
      </c>
      <c r="N102" s="14" t="s">
        <v>652</v>
      </c>
      <c r="O102" s="16">
        <v>46316.0</v>
      </c>
      <c r="Q102" s="16">
        <v>46232.0</v>
      </c>
    </row>
    <row r="103">
      <c r="A103" s="13">
        <v>102.0</v>
      </c>
      <c r="B103" s="14" t="s">
        <v>318</v>
      </c>
      <c r="C103" s="14" t="s">
        <v>319</v>
      </c>
      <c r="D103" s="14" t="s">
        <v>320</v>
      </c>
      <c r="E103" s="14" t="s">
        <v>321</v>
      </c>
      <c r="F103" s="14" t="s">
        <v>70</v>
      </c>
      <c r="G103" s="14" t="s">
        <v>261</v>
      </c>
      <c r="H103" s="13">
        <v>2.0</v>
      </c>
      <c r="I103" s="14" t="s">
        <v>42</v>
      </c>
      <c r="J103" s="15" t="s">
        <v>590</v>
      </c>
      <c r="K103" s="14" t="str">
        <f t="shared" si="1"/>
        <v>03</v>
      </c>
      <c r="L103" s="14" t="s">
        <v>591</v>
      </c>
      <c r="M103" s="14" t="s">
        <v>653</v>
      </c>
      <c r="N103" s="14" t="s">
        <v>654</v>
      </c>
      <c r="O103" s="16">
        <v>46290.0</v>
      </c>
      <c r="Q103" s="16">
        <v>46273.0</v>
      </c>
    </row>
    <row r="104">
      <c r="A104" s="13">
        <v>103.0</v>
      </c>
      <c r="B104" s="14" t="s">
        <v>365</v>
      </c>
      <c r="C104" s="14" t="s">
        <v>366</v>
      </c>
      <c r="D104" s="14" t="s">
        <v>368</v>
      </c>
      <c r="E104" s="14" t="s">
        <v>369</v>
      </c>
      <c r="F104" s="14" t="s">
        <v>40</v>
      </c>
      <c r="G104" s="14" t="s">
        <v>109</v>
      </c>
      <c r="H104" s="13">
        <v>2.0</v>
      </c>
      <c r="I104" s="14" t="s">
        <v>42</v>
      </c>
      <c r="J104" s="15" t="s">
        <v>655</v>
      </c>
      <c r="K104" s="14" t="str">
        <f t="shared" si="1"/>
        <v>03</v>
      </c>
      <c r="L104" s="14" t="s">
        <v>656</v>
      </c>
      <c r="M104" s="14" t="s">
        <v>657</v>
      </c>
      <c r="N104" s="14" t="s">
        <v>658</v>
      </c>
      <c r="O104" s="16">
        <v>46285.0</v>
      </c>
      <c r="Q104" s="16">
        <v>46162.0</v>
      </c>
    </row>
    <row r="105">
      <c r="A105" s="13">
        <v>104.0</v>
      </c>
      <c r="B105" s="14" t="s">
        <v>659</v>
      </c>
      <c r="C105" s="14" t="s">
        <v>660</v>
      </c>
      <c r="D105" s="14" t="s">
        <v>661</v>
      </c>
      <c r="E105" s="14" t="s">
        <v>662</v>
      </c>
      <c r="F105" s="14" t="s">
        <v>40</v>
      </c>
      <c r="G105" s="14" t="s">
        <v>146</v>
      </c>
      <c r="H105" s="13">
        <v>2.0</v>
      </c>
      <c r="I105" s="14" t="s">
        <v>61</v>
      </c>
      <c r="J105" s="15" t="s">
        <v>655</v>
      </c>
      <c r="K105" s="14" t="str">
        <f t="shared" si="1"/>
        <v>03</v>
      </c>
      <c r="L105" s="14" t="s">
        <v>656</v>
      </c>
      <c r="M105" s="14" t="s">
        <v>663</v>
      </c>
      <c r="N105" s="14" t="s">
        <v>664</v>
      </c>
      <c r="O105" s="14" t="s">
        <v>64</v>
      </c>
      <c r="P105" s="14" t="s">
        <v>665</v>
      </c>
      <c r="Q105" s="16">
        <v>46266.0</v>
      </c>
    </row>
    <row r="106">
      <c r="A106" s="13">
        <v>105.0</v>
      </c>
      <c r="B106" s="14" t="s">
        <v>398</v>
      </c>
      <c r="C106" s="14" t="s">
        <v>399</v>
      </c>
      <c r="D106" s="14" t="s">
        <v>400</v>
      </c>
      <c r="E106" s="14" t="s">
        <v>401</v>
      </c>
      <c r="F106" s="14" t="s">
        <v>40</v>
      </c>
      <c r="G106" s="14" t="s">
        <v>222</v>
      </c>
      <c r="H106" s="13">
        <v>2.0</v>
      </c>
      <c r="I106" s="14" t="s">
        <v>42</v>
      </c>
      <c r="J106" s="15" t="s">
        <v>655</v>
      </c>
      <c r="K106" s="14" t="str">
        <f t="shared" si="1"/>
        <v>03</v>
      </c>
      <c r="L106" s="14" t="s">
        <v>656</v>
      </c>
      <c r="M106" s="14" t="s">
        <v>666</v>
      </c>
      <c r="N106" s="14" t="s">
        <v>667</v>
      </c>
      <c r="O106" s="16">
        <v>46291.0</v>
      </c>
      <c r="P106" s="14" t="s">
        <v>668</v>
      </c>
      <c r="Q106" s="16">
        <v>46230.0</v>
      </c>
    </row>
    <row r="107">
      <c r="A107" s="13">
        <v>106.0</v>
      </c>
      <c r="B107" s="14" t="s">
        <v>302</v>
      </c>
      <c r="C107" s="14" t="s">
        <v>303</v>
      </c>
      <c r="D107" s="14" t="s">
        <v>304</v>
      </c>
      <c r="E107" s="14" t="s">
        <v>305</v>
      </c>
      <c r="F107" s="14" t="s">
        <v>162</v>
      </c>
      <c r="G107" s="14" t="s">
        <v>261</v>
      </c>
      <c r="H107" s="13">
        <v>2.0</v>
      </c>
      <c r="I107" s="14" t="s">
        <v>42</v>
      </c>
      <c r="J107" s="15" t="s">
        <v>655</v>
      </c>
      <c r="K107" s="14" t="str">
        <f t="shared" si="1"/>
        <v>03</v>
      </c>
      <c r="L107" s="14" t="s">
        <v>656</v>
      </c>
      <c r="M107" s="14" t="s">
        <v>669</v>
      </c>
      <c r="N107" s="14" t="s">
        <v>670</v>
      </c>
      <c r="O107" s="14" t="s">
        <v>64</v>
      </c>
      <c r="P107" s="14" t="s">
        <v>671</v>
      </c>
      <c r="Q107" s="16">
        <v>46271.0</v>
      </c>
    </row>
    <row r="108">
      <c r="A108" s="13">
        <v>107.0</v>
      </c>
      <c r="B108" s="14" t="s">
        <v>36</v>
      </c>
      <c r="C108" s="14" t="s">
        <v>37</v>
      </c>
      <c r="D108" s="14" t="s">
        <v>38</v>
      </c>
      <c r="E108" s="14" t="s">
        <v>39</v>
      </c>
      <c r="F108" s="14" t="s">
        <v>40</v>
      </c>
      <c r="G108" s="14" t="s">
        <v>41</v>
      </c>
      <c r="H108" s="13">
        <v>2.0</v>
      </c>
      <c r="I108" s="14" t="s">
        <v>42</v>
      </c>
      <c r="J108" s="15" t="s">
        <v>672</v>
      </c>
      <c r="K108" s="14" t="str">
        <f t="shared" si="1"/>
        <v>03</v>
      </c>
      <c r="L108" s="14" t="s">
        <v>673</v>
      </c>
      <c r="M108" s="14" t="s">
        <v>674</v>
      </c>
      <c r="N108" s="14" t="s">
        <v>675</v>
      </c>
      <c r="O108" s="16">
        <v>46241.0</v>
      </c>
      <c r="Q108" s="16">
        <v>46147.0</v>
      </c>
    </row>
    <row r="109">
      <c r="A109" s="13">
        <v>108.0</v>
      </c>
      <c r="B109" s="14" t="s">
        <v>586</v>
      </c>
      <c r="C109" s="14" t="s">
        <v>587</v>
      </c>
      <c r="D109" s="14" t="s">
        <v>588</v>
      </c>
      <c r="E109" s="14" t="s">
        <v>589</v>
      </c>
      <c r="F109" s="14" t="s">
        <v>40</v>
      </c>
      <c r="G109" s="14" t="s">
        <v>41</v>
      </c>
      <c r="H109" s="13">
        <v>2.0</v>
      </c>
      <c r="I109" s="14" t="s">
        <v>42</v>
      </c>
      <c r="J109" s="15" t="s">
        <v>672</v>
      </c>
      <c r="K109" s="14" t="str">
        <f t="shared" si="1"/>
        <v>03</v>
      </c>
      <c r="L109" s="14" t="s">
        <v>673</v>
      </c>
      <c r="M109" s="14" t="s">
        <v>676</v>
      </c>
      <c r="N109" s="14" t="s">
        <v>593</v>
      </c>
      <c r="O109" s="16">
        <v>46265.0</v>
      </c>
      <c r="Q109" s="16">
        <v>46147.0</v>
      </c>
    </row>
    <row r="110">
      <c r="A110" s="13">
        <v>109.0</v>
      </c>
      <c r="B110" s="14" t="s">
        <v>48</v>
      </c>
      <c r="C110" s="14" t="s">
        <v>49</v>
      </c>
      <c r="D110" s="14" t="s">
        <v>50</v>
      </c>
      <c r="E110" s="14" t="s">
        <v>677</v>
      </c>
      <c r="F110" s="14" t="s">
        <v>527</v>
      </c>
      <c r="G110" s="14" t="s">
        <v>41</v>
      </c>
      <c r="H110" s="13">
        <v>2.0</v>
      </c>
      <c r="I110" s="14" t="s">
        <v>61</v>
      </c>
      <c r="J110" s="15" t="s">
        <v>672</v>
      </c>
      <c r="K110" s="14" t="str">
        <f t="shared" si="1"/>
        <v>03</v>
      </c>
      <c r="L110" s="14" t="s">
        <v>673</v>
      </c>
      <c r="M110" s="14" t="s">
        <v>678</v>
      </c>
      <c r="N110" s="14" t="s">
        <v>679</v>
      </c>
      <c r="O110" s="16">
        <v>46265.0</v>
      </c>
      <c r="P110" s="14" t="s">
        <v>680</v>
      </c>
      <c r="Q110" s="16">
        <v>46147.0</v>
      </c>
    </row>
    <row r="111">
      <c r="A111" s="13">
        <v>110.0</v>
      </c>
      <c r="B111" s="14" t="s">
        <v>48</v>
      </c>
      <c r="C111" s="14" t="s">
        <v>49</v>
      </c>
      <c r="D111" s="14" t="s">
        <v>50</v>
      </c>
      <c r="E111" s="14" t="s">
        <v>51</v>
      </c>
      <c r="F111" s="14" t="s">
        <v>40</v>
      </c>
      <c r="G111" s="14" t="s">
        <v>41</v>
      </c>
      <c r="H111" s="13">
        <v>2.0</v>
      </c>
      <c r="I111" s="14" t="s">
        <v>42</v>
      </c>
      <c r="J111" s="15" t="s">
        <v>672</v>
      </c>
      <c r="K111" s="14" t="str">
        <f t="shared" si="1"/>
        <v>03</v>
      </c>
      <c r="L111" s="14" t="s">
        <v>673</v>
      </c>
      <c r="M111" s="14" t="s">
        <v>681</v>
      </c>
      <c r="N111" s="14" t="s">
        <v>682</v>
      </c>
      <c r="O111" s="16">
        <v>46262.0</v>
      </c>
      <c r="Q111" s="16">
        <v>46147.0</v>
      </c>
    </row>
    <row r="112">
      <c r="A112" s="13">
        <v>111.0</v>
      </c>
      <c r="B112" s="14" t="s">
        <v>56</v>
      </c>
      <c r="C112" s="14" t="s">
        <v>57</v>
      </c>
      <c r="D112" s="14" t="s">
        <v>58</v>
      </c>
      <c r="E112" s="14" t="s">
        <v>59</v>
      </c>
      <c r="F112" s="14" t="s">
        <v>60</v>
      </c>
      <c r="G112" s="14" t="s">
        <v>41</v>
      </c>
      <c r="H112" s="13">
        <v>2.0</v>
      </c>
      <c r="I112" s="14" t="s">
        <v>61</v>
      </c>
      <c r="J112" s="15" t="s">
        <v>672</v>
      </c>
      <c r="K112" s="14" t="str">
        <f t="shared" si="1"/>
        <v>03</v>
      </c>
      <c r="L112" s="14" t="s">
        <v>673</v>
      </c>
      <c r="M112" s="14" t="s">
        <v>683</v>
      </c>
      <c r="N112" s="14" t="s">
        <v>684</v>
      </c>
      <c r="O112" s="14" t="s">
        <v>64</v>
      </c>
      <c r="P112" s="14" t="s">
        <v>685</v>
      </c>
      <c r="Q112" s="16">
        <v>46188.0</v>
      </c>
    </row>
    <row r="113">
      <c r="A113" s="13">
        <v>112.0</v>
      </c>
      <c r="B113" s="14" t="s">
        <v>594</v>
      </c>
      <c r="C113" s="14" t="s">
        <v>595</v>
      </c>
      <c r="D113" s="14" t="s">
        <v>596</v>
      </c>
      <c r="E113" s="14" t="s">
        <v>597</v>
      </c>
      <c r="F113" s="14" t="s">
        <v>40</v>
      </c>
      <c r="G113" s="14" t="s">
        <v>41</v>
      </c>
      <c r="H113" s="13">
        <v>2.0</v>
      </c>
      <c r="I113" s="14" t="s">
        <v>61</v>
      </c>
      <c r="J113" s="15" t="s">
        <v>672</v>
      </c>
      <c r="K113" s="14" t="str">
        <f t="shared" si="1"/>
        <v>03</v>
      </c>
      <c r="L113" s="14" t="s">
        <v>673</v>
      </c>
      <c r="M113" s="14" t="s">
        <v>686</v>
      </c>
      <c r="N113" s="14" t="s">
        <v>599</v>
      </c>
      <c r="O113" s="16">
        <v>46269.0</v>
      </c>
      <c r="P113" s="14" t="s">
        <v>687</v>
      </c>
      <c r="Q113" s="16">
        <v>46185.0</v>
      </c>
    </row>
    <row r="114">
      <c r="A114" s="13">
        <v>113.0</v>
      </c>
      <c r="B114" s="14" t="s">
        <v>601</v>
      </c>
      <c r="C114" s="14" t="s">
        <v>602</v>
      </c>
      <c r="D114" s="14" t="s">
        <v>603</v>
      </c>
      <c r="E114" s="14" t="s">
        <v>604</v>
      </c>
      <c r="F114" s="14" t="s">
        <v>40</v>
      </c>
      <c r="G114" s="14" t="s">
        <v>109</v>
      </c>
      <c r="H114" s="13">
        <v>2.0</v>
      </c>
      <c r="I114" s="14" t="s">
        <v>61</v>
      </c>
      <c r="J114" s="15" t="s">
        <v>672</v>
      </c>
      <c r="K114" s="14" t="str">
        <f t="shared" si="1"/>
        <v>03</v>
      </c>
      <c r="L114" s="14" t="s">
        <v>673</v>
      </c>
      <c r="M114" s="14" t="s">
        <v>688</v>
      </c>
      <c r="N114" s="14" t="s">
        <v>606</v>
      </c>
      <c r="O114" s="14" t="s">
        <v>64</v>
      </c>
      <c r="P114" s="14" t="s">
        <v>689</v>
      </c>
      <c r="Q114" s="16">
        <v>46161.0</v>
      </c>
    </row>
    <row r="115">
      <c r="A115" s="13">
        <v>114.0</v>
      </c>
      <c r="B115" s="14" t="s">
        <v>690</v>
      </c>
      <c r="C115" s="14" t="s">
        <v>691</v>
      </c>
      <c r="D115" s="14" t="s">
        <v>692</v>
      </c>
      <c r="E115" s="14" t="s">
        <v>693</v>
      </c>
      <c r="F115" s="14" t="s">
        <v>70</v>
      </c>
      <c r="G115" s="14" t="s">
        <v>109</v>
      </c>
      <c r="H115" s="13">
        <v>2.0</v>
      </c>
      <c r="I115" s="14" t="s">
        <v>61</v>
      </c>
      <c r="J115" s="15" t="s">
        <v>672</v>
      </c>
      <c r="K115" s="14" t="str">
        <f t="shared" si="1"/>
        <v>03</v>
      </c>
      <c r="L115" s="14" t="s">
        <v>673</v>
      </c>
      <c r="M115" s="14" t="s">
        <v>694</v>
      </c>
      <c r="N115" s="14" t="s">
        <v>695</v>
      </c>
      <c r="O115" s="16">
        <v>46290.0</v>
      </c>
      <c r="P115" s="14" t="s">
        <v>696</v>
      </c>
      <c r="Q115" s="16">
        <v>46238.0</v>
      </c>
    </row>
    <row r="116">
      <c r="A116" s="13">
        <v>115.0</v>
      </c>
      <c r="B116" s="14" t="s">
        <v>697</v>
      </c>
      <c r="C116" s="14" t="s">
        <v>698</v>
      </c>
      <c r="D116" s="14" t="s">
        <v>699</v>
      </c>
      <c r="E116" s="14" t="s">
        <v>700</v>
      </c>
      <c r="F116" s="14" t="s">
        <v>489</v>
      </c>
      <c r="G116" s="14" t="s">
        <v>109</v>
      </c>
      <c r="H116" s="13">
        <v>2.0</v>
      </c>
      <c r="I116" s="14" t="s">
        <v>61</v>
      </c>
      <c r="J116" s="15" t="s">
        <v>672</v>
      </c>
      <c r="K116" s="14" t="str">
        <f t="shared" si="1"/>
        <v>03</v>
      </c>
      <c r="L116" s="14" t="s">
        <v>673</v>
      </c>
      <c r="M116" s="14" t="s">
        <v>701</v>
      </c>
      <c r="N116" s="14" t="s">
        <v>702</v>
      </c>
      <c r="O116" s="14" t="s">
        <v>64</v>
      </c>
      <c r="P116" s="14" t="s">
        <v>703</v>
      </c>
      <c r="Q116" s="16">
        <v>46188.0</v>
      </c>
    </row>
    <row r="117">
      <c r="A117" s="13">
        <v>116.0</v>
      </c>
      <c r="B117" s="14" t="s">
        <v>365</v>
      </c>
      <c r="C117" s="14" t="s">
        <v>366</v>
      </c>
      <c r="D117" s="14" t="s">
        <v>368</v>
      </c>
      <c r="E117" s="14" t="s">
        <v>369</v>
      </c>
      <c r="F117" s="14" t="s">
        <v>40</v>
      </c>
      <c r="G117" s="14" t="s">
        <v>109</v>
      </c>
      <c r="H117" s="13">
        <v>2.0</v>
      </c>
      <c r="I117" s="14" t="s">
        <v>42</v>
      </c>
      <c r="J117" s="15" t="s">
        <v>672</v>
      </c>
      <c r="K117" s="14" t="str">
        <f t="shared" si="1"/>
        <v>03</v>
      </c>
      <c r="L117" s="14" t="s">
        <v>673</v>
      </c>
      <c r="M117" s="14" t="s">
        <v>704</v>
      </c>
      <c r="N117" s="14" t="s">
        <v>658</v>
      </c>
      <c r="O117" s="16">
        <v>46285.0</v>
      </c>
      <c r="Q117" s="16">
        <v>46162.0</v>
      </c>
    </row>
    <row r="118">
      <c r="A118" s="13">
        <v>117.0</v>
      </c>
      <c r="B118" s="14" t="s">
        <v>557</v>
      </c>
      <c r="C118" s="14" t="s">
        <v>558</v>
      </c>
      <c r="D118" s="14" t="s">
        <v>559</v>
      </c>
      <c r="E118" s="14" t="s">
        <v>560</v>
      </c>
      <c r="F118" s="14" t="s">
        <v>40</v>
      </c>
      <c r="G118" s="14" t="s">
        <v>124</v>
      </c>
      <c r="H118" s="13">
        <v>2.0</v>
      </c>
      <c r="I118" s="14" t="s">
        <v>42</v>
      </c>
      <c r="J118" s="15" t="s">
        <v>672</v>
      </c>
      <c r="K118" s="14" t="str">
        <f t="shared" si="1"/>
        <v>03</v>
      </c>
      <c r="L118" s="14" t="s">
        <v>673</v>
      </c>
      <c r="M118" s="14" t="s">
        <v>705</v>
      </c>
      <c r="N118" s="14" t="s">
        <v>706</v>
      </c>
      <c r="O118" s="16">
        <v>46284.0</v>
      </c>
      <c r="Q118" s="16">
        <v>46175.0</v>
      </c>
    </row>
    <row r="119">
      <c r="A119" s="13">
        <v>118.0</v>
      </c>
      <c r="B119" s="14" t="s">
        <v>659</v>
      </c>
      <c r="C119" s="14" t="s">
        <v>660</v>
      </c>
      <c r="D119" s="14" t="s">
        <v>661</v>
      </c>
      <c r="E119" s="14" t="s">
        <v>662</v>
      </c>
      <c r="F119" s="14" t="s">
        <v>40</v>
      </c>
      <c r="G119" s="14" t="s">
        <v>146</v>
      </c>
      <c r="H119" s="13">
        <v>2.0</v>
      </c>
      <c r="I119" s="14" t="s">
        <v>61</v>
      </c>
      <c r="J119" s="15" t="s">
        <v>672</v>
      </c>
      <c r="K119" s="14" t="str">
        <f t="shared" si="1"/>
        <v>03</v>
      </c>
      <c r="L119" s="14" t="s">
        <v>673</v>
      </c>
      <c r="M119" s="14" t="s">
        <v>707</v>
      </c>
      <c r="N119" s="14" t="s">
        <v>664</v>
      </c>
      <c r="O119" s="14" t="s">
        <v>64</v>
      </c>
      <c r="P119" s="14" t="s">
        <v>708</v>
      </c>
      <c r="Q119" s="16">
        <v>46266.0</v>
      </c>
    </row>
    <row r="120">
      <c r="A120" s="13">
        <v>119.0</v>
      </c>
      <c r="B120" s="14" t="s">
        <v>150</v>
      </c>
      <c r="C120" s="14" t="s">
        <v>151</v>
      </c>
      <c r="D120" s="14" t="s">
        <v>152</v>
      </c>
      <c r="E120" s="14" t="s">
        <v>153</v>
      </c>
      <c r="F120" s="14" t="s">
        <v>154</v>
      </c>
      <c r="G120" s="14" t="s">
        <v>146</v>
      </c>
      <c r="H120" s="13">
        <v>2.0</v>
      </c>
      <c r="I120" s="14" t="s">
        <v>61</v>
      </c>
      <c r="J120" s="15" t="s">
        <v>672</v>
      </c>
      <c r="K120" s="14" t="str">
        <f t="shared" si="1"/>
        <v>03</v>
      </c>
      <c r="L120" s="14" t="s">
        <v>673</v>
      </c>
      <c r="M120" s="14" t="s">
        <v>709</v>
      </c>
      <c r="N120" s="14" t="s">
        <v>710</v>
      </c>
      <c r="O120" s="14" t="s">
        <v>64</v>
      </c>
      <c r="P120" s="14" t="s">
        <v>711</v>
      </c>
      <c r="Q120" s="16">
        <v>46239.0</v>
      </c>
    </row>
    <row r="121">
      <c r="A121" s="13">
        <v>120.0</v>
      </c>
      <c r="B121" s="14" t="s">
        <v>158</v>
      </c>
      <c r="C121" s="14" t="s">
        <v>159</v>
      </c>
      <c r="D121" s="14" t="s">
        <v>160</v>
      </c>
      <c r="E121" s="14" t="s">
        <v>161</v>
      </c>
      <c r="F121" s="14" t="s">
        <v>162</v>
      </c>
      <c r="G121" s="14" t="s">
        <v>146</v>
      </c>
      <c r="H121" s="13">
        <v>2.0</v>
      </c>
      <c r="I121" s="14" t="s">
        <v>61</v>
      </c>
      <c r="J121" s="15" t="s">
        <v>672</v>
      </c>
      <c r="K121" s="14" t="str">
        <f t="shared" si="1"/>
        <v>03</v>
      </c>
      <c r="L121" s="14" t="s">
        <v>673</v>
      </c>
      <c r="M121" s="14" t="s">
        <v>712</v>
      </c>
      <c r="N121" s="14" t="s">
        <v>713</v>
      </c>
      <c r="O121" s="14" t="s">
        <v>64</v>
      </c>
      <c r="P121" s="14" t="s">
        <v>714</v>
      </c>
      <c r="Q121" s="16">
        <v>46275.0</v>
      </c>
    </row>
    <row r="122">
      <c r="A122" s="13">
        <v>121.0</v>
      </c>
      <c r="B122" s="14" t="s">
        <v>715</v>
      </c>
      <c r="C122" s="14" t="s">
        <v>716</v>
      </c>
      <c r="D122" s="14" t="s">
        <v>717</v>
      </c>
      <c r="E122" s="14" t="s">
        <v>718</v>
      </c>
      <c r="F122" s="14" t="s">
        <v>178</v>
      </c>
      <c r="G122" s="14" t="s">
        <v>146</v>
      </c>
      <c r="H122" s="13">
        <v>2.0</v>
      </c>
      <c r="I122" s="14" t="s">
        <v>42</v>
      </c>
      <c r="J122" s="15" t="s">
        <v>672</v>
      </c>
      <c r="K122" s="14" t="str">
        <f t="shared" si="1"/>
        <v>03</v>
      </c>
      <c r="L122" s="14" t="s">
        <v>673</v>
      </c>
      <c r="M122" s="14" t="s">
        <v>719</v>
      </c>
      <c r="N122" s="14" t="s">
        <v>720</v>
      </c>
      <c r="O122" s="16">
        <v>46304.0</v>
      </c>
      <c r="Q122" s="16">
        <v>46205.0</v>
      </c>
    </row>
    <row r="123">
      <c r="A123" s="13">
        <v>122.0</v>
      </c>
      <c r="B123" s="14" t="s">
        <v>181</v>
      </c>
      <c r="C123" s="14" t="s">
        <v>182</v>
      </c>
      <c r="D123" s="14" t="s">
        <v>183</v>
      </c>
      <c r="E123" s="14" t="s">
        <v>184</v>
      </c>
      <c r="F123" s="14" t="s">
        <v>40</v>
      </c>
      <c r="G123" s="14" t="s">
        <v>146</v>
      </c>
      <c r="H123" s="13">
        <v>2.0</v>
      </c>
      <c r="I123" s="14" t="s">
        <v>42</v>
      </c>
      <c r="J123" s="15" t="s">
        <v>672</v>
      </c>
      <c r="K123" s="14" t="str">
        <f t="shared" si="1"/>
        <v>03</v>
      </c>
      <c r="L123" s="14" t="s">
        <v>673</v>
      </c>
      <c r="M123" s="14" t="s">
        <v>721</v>
      </c>
      <c r="N123" s="14" t="s">
        <v>722</v>
      </c>
      <c r="O123" s="16">
        <v>46304.0</v>
      </c>
      <c r="Q123" s="16">
        <v>46198.0</v>
      </c>
    </row>
    <row r="124">
      <c r="A124" s="13">
        <v>123.0</v>
      </c>
      <c r="B124" s="14" t="s">
        <v>723</v>
      </c>
      <c r="C124" s="14" t="s">
        <v>724</v>
      </c>
      <c r="D124" s="14" t="s">
        <v>725</v>
      </c>
      <c r="E124" s="14" t="s">
        <v>726</v>
      </c>
      <c r="F124" s="14" t="s">
        <v>162</v>
      </c>
      <c r="G124" s="14" t="s">
        <v>146</v>
      </c>
      <c r="H124" s="13">
        <v>2.0</v>
      </c>
      <c r="I124" s="14" t="s">
        <v>42</v>
      </c>
      <c r="J124" s="15" t="s">
        <v>672</v>
      </c>
      <c r="K124" s="14" t="str">
        <f t="shared" si="1"/>
        <v>03</v>
      </c>
      <c r="L124" s="14" t="s">
        <v>673</v>
      </c>
      <c r="M124" s="14" t="s">
        <v>727</v>
      </c>
      <c r="N124" s="14" t="s">
        <v>728</v>
      </c>
      <c r="O124" s="16">
        <v>46310.0</v>
      </c>
      <c r="Q124" s="16">
        <v>46198.0</v>
      </c>
    </row>
    <row r="125">
      <c r="A125" s="13">
        <v>124.0</v>
      </c>
      <c r="B125" s="14" t="s">
        <v>385</v>
      </c>
      <c r="C125" s="14" t="s">
        <v>386</v>
      </c>
      <c r="D125" s="14" t="s">
        <v>387</v>
      </c>
      <c r="E125" s="14" t="s">
        <v>388</v>
      </c>
      <c r="F125" s="14" t="s">
        <v>40</v>
      </c>
      <c r="G125" s="14" t="s">
        <v>191</v>
      </c>
      <c r="H125" s="13">
        <v>2.0</v>
      </c>
      <c r="I125" s="14" t="s">
        <v>42</v>
      </c>
      <c r="J125" s="15" t="s">
        <v>672</v>
      </c>
      <c r="K125" s="14" t="str">
        <f t="shared" si="1"/>
        <v>03</v>
      </c>
      <c r="L125" s="14" t="s">
        <v>673</v>
      </c>
      <c r="M125" s="14" t="s">
        <v>729</v>
      </c>
      <c r="N125" s="14" t="s">
        <v>730</v>
      </c>
      <c r="O125" s="16">
        <v>46290.0</v>
      </c>
      <c r="Q125" s="16">
        <v>46211.0</v>
      </c>
    </row>
    <row r="126">
      <c r="A126" s="13">
        <v>125.0</v>
      </c>
      <c r="B126" s="14" t="s">
        <v>392</v>
      </c>
      <c r="C126" s="14" t="s">
        <v>393</v>
      </c>
      <c r="D126" s="14" t="s">
        <v>394</v>
      </c>
      <c r="E126" s="14" t="s">
        <v>395</v>
      </c>
      <c r="F126" s="14" t="s">
        <v>40</v>
      </c>
      <c r="G126" s="14" t="s">
        <v>191</v>
      </c>
      <c r="H126" s="13">
        <v>2.0</v>
      </c>
      <c r="I126" s="14" t="s">
        <v>42</v>
      </c>
      <c r="J126" s="15" t="s">
        <v>672</v>
      </c>
      <c r="K126" s="14" t="str">
        <f t="shared" si="1"/>
        <v>03</v>
      </c>
      <c r="L126" s="14" t="s">
        <v>673</v>
      </c>
      <c r="M126" s="14" t="s">
        <v>731</v>
      </c>
      <c r="N126" s="14" t="s">
        <v>732</v>
      </c>
      <c r="O126" s="16">
        <v>46299.0</v>
      </c>
      <c r="P126" s="14" t="s">
        <v>733</v>
      </c>
      <c r="Q126" s="16">
        <v>46287.0</v>
      </c>
    </row>
    <row r="127">
      <c r="A127" s="13">
        <v>126.0</v>
      </c>
      <c r="B127" s="14" t="s">
        <v>196</v>
      </c>
      <c r="C127" s="14" t="s">
        <v>197</v>
      </c>
      <c r="D127" s="14" t="s">
        <v>198</v>
      </c>
      <c r="E127" s="14" t="s">
        <v>734</v>
      </c>
      <c r="F127" s="14" t="s">
        <v>527</v>
      </c>
      <c r="G127" s="14" t="s">
        <v>191</v>
      </c>
      <c r="H127" s="13">
        <v>2.0</v>
      </c>
      <c r="I127" s="14" t="s">
        <v>42</v>
      </c>
      <c r="J127" s="15" t="s">
        <v>672</v>
      </c>
      <c r="K127" s="14" t="str">
        <f t="shared" si="1"/>
        <v>03</v>
      </c>
      <c r="L127" s="14" t="s">
        <v>673</v>
      </c>
      <c r="M127" s="14" t="s">
        <v>735</v>
      </c>
      <c r="N127" s="14" t="s">
        <v>736</v>
      </c>
      <c r="O127" s="16">
        <v>46289.0</v>
      </c>
      <c r="Q127" s="16">
        <v>46217.0</v>
      </c>
    </row>
    <row r="128">
      <c r="A128" s="13">
        <v>127.0</v>
      </c>
      <c r="B128" s="14" t="s">
        <v>196</v>
      </c>
      <c r="C128" s="14" t="s">
        <v>197</v>
      </c>
      <c r="D128" s="14" t="s">
        <v>198</v>
      </c>
      <c r="E128" s="14" t="s">
        <v>488</v>
      </c>
      <c r="F128" s="14" t="s">
        <v>489</v>
      </c>
      <c r="G128" s="14" t="s">
        <v>191</v>
      </c>
      <c r="H128" s="13">
        <v>2.0</v>
      </c>
      <c r="I128" s="14" t="s">
        <v>42</v>
      </c>
      <c r="J128" s="15" t="s">
        <v>672</v>
      </c>
      <c r="K128" s="14" t="str">
        <f t="shared" si="1"/>
        <v>03</v>
      </c>
      <c r="L128" s="14" t="s">
        <v>673</v>
      </c>
      <c r="M128" s="14" t="s">
        <v>737</v>
      </c>
      <c r="N128" s="14" t="s">
        <v>738</v>
      </c>
      <c r="O128" s="16">
        <v>46289.0</v>
      </c>
      <c r="Q128" s="16">
        <v>46217.0</v>
      </c>
    </row>
    <row r="129">
      <c r="A129" s="13">
        <v>128.0</v>
      </c>
      <c r="B129" s="14" t="s">
        <v>203</v>
      </c>
      <c r="C129" s="14" t="s">
        <v>204</v>
      </c>
      <c r="D129" s="14" t="s">
        <v>205</v>
      </c>
      <c r="E129" s="14" t="s">
        <v>206</v>
      </c>
      <c r="F129" s="14" t="s">
        <v>207</v>
      </c>
      <c r="G129" s="14" t="s">
        <v>191</v>
      </c>
      <c r="H129" s="13">
        <v>2.0</v>
      </c>
      <c r="I129" s="14" t="s">
        <v>61</v>
      </c>
      <c r="J129" s="15" t="s">
        <v>672</v>
      </c>
      <c r="K129" s="14" t="str">
        <f t="shared" si="1"/>
        <v>03</v>
      </c>
      <c r="L129" s="14" t="s">
        <v>673</v>
      </c>
      <c r="M129" s="14" t="s">
        <v>739</v>
      </c>
      <c r="N129" s="14" t="s">
        <v>740</v>
      </c>
      <c r="O129" s="14" t="s">
        <v>64</v>
      </c>
      <c r="P129" s="14" t="s">
        <v>741</v>
      </c>
      <c r="Q129" s="16">
        <v>46283.0</v>
      </c>
    </row>
    <row r="130">
      <c r="A130" s="13">
        <v>129.0</v>
      </c>
      <c r="B130" s="14" t="s">
        <v>632</v>
      </c>
      <c r="C130" s="14" t="s">
        <v>633</v>
      </c>
      <c r="D130" s="14" t="s">
        <v>634</v>
      </c>
      <c r="E130" s="14" t="s">
        <v>635</v>
      </c>
      <c r="F130" s="14" t="s">
        <v>60</v>
      </c>
      <c r="G130" s="14" t="s">
        <v>191</v>
      </c>
      <c r="H130" s="13">
        <v>2.0</v>
      </c>
      <c r="I130" s="14" t="s">
        <v>42</v>
      </c>
      <c r="J130" s="15" t="s">
        <v>672</v>
      </c>
      <c r="K130" s="14" t="str">
        <f t="shared" si="1"/>
        <v>03</v>
      </c>
      <c r="L130" s="14" t="s">
        <v>673</v>
      </c>
      <c r="M130" s="14" t="s">
        <v>742</v>
      </c>
      <c r="N130" s="14" t="s">
        <v>637</v>
      </c>
      <c r="O130" s="16">
        <v>46290.0</v>
      </c>
      <c r="Q130" s="16">
        <v>46224.0</v>
      </c>
    </row>
    <row r="131">
      <c r="A131" s="13">
        <v>130.0</v>
      </c>
      <c r="B131" s="14" t="s">
        <v>452</v>
      </c>
      <c r="C131" s="14" t="s">
        <v>453</v>
      </c>
      <c r="D131" s="14" t="s">
        <v>454</v>
      </c>
      <c r="E131" s="14" t="s">
        <v>455</v>
      </c>
      <c r="F131" s="14" t="s">
        <v>40</v>
      </c>
      <c r="G131" s="14" t="s">
        <v>222</v>
      </c>
      <c r="H131" s="13">
        <v>2.0</v>
      </c>
      <c r="I131" s="14" t="s">
        <v>61</v>
      </c>
      <c r="J131" s="15" t="s">
        <v>672</v>
      </c>
      <c r="K131" s="14" t="str">
        <f t="shared" si="1"/>
        <v>03</v>
      </c>
      <c r="L131" s="14" t="s">
        <v>673</v>
      </c>
      <c r="M131" s="14" t="s">
        <v>743</v>
      </c>
      <c r="N131" s="14" t="s">
        <v>744</v>
      </c>
      <c r="O131" s="14" t="s">
        <v>64</v>
      </c>
      <c r="P131" s="14" t="s">
        <v>745</v>
      </c>
      <c r="Q131" s="16">
        <v>46275.0</v>
      </c>
    </row>
    <row r="132">
      <c r="A132" s="13">
        <v>131.0</v>
      </c>
      <c r="B132" s="14" t="s">
        <v>398</v>
      </c>
      <c r="C132" s="14" t="s">
        <v>399</v>
      </c>
      <c r="D132" s="14" t="s">
        <v>400</v>
      </c>
      <c r="E132" s="14" t="s">
        <v>401</v>
      </c>
      <c r="F132" s="14" t="s">
        <v>40</v>
      </c>
      <c r="G132" s="14" t="s">
        <v>222</v>
      </c>
      <c r="H132" s="13">
        <v>2.0</v>
      </c>
      <c r="I132" s="14" t="s">
        <v>42</v>
      </c>
      <c r="J132" s="15" t="s">
        <v>672</v>
      </c>
      <c r="K132" s="14" t="str">
        <f t="shared" si="1"/>
        <v>03</v>
      </c>
      <c r="L132" s="14" t="s">
        <v>673</v>
      </c>
      <c r="M132" s="14" t="s">
        <v>746</v>
      </c>
      <c r="N132" s="14" t="s">
        <v>667</v>
      </c>
      <c r="O132" s="16">
        <v>46291.0</v>
      </c>
      <c r="P132" s="14" t="s">
        <v>747</v>
      </c>
      <c r="Q132" s="16">
        <v>46230.0</v>
      </c>
    </row>
    <row r="133">
      <c r="A133" s="13">
        <v>132.0</v>
      </c>
      <c r="B133" s="14" t="s">
        <v>638</v>
      </c>
      <c r="C133" s="14" t="s">
        <v>639</v>
      </c>
      <c r="D133" s="14" t="s">
        <v>640</v>
      </c>
      <c r="E133" s="14" t="s">
        <v>641</v>
      </c>
      <c r="F133" s="14" t="s">
        <v>40</v>
      </c>
      <c r="G133" s="14" t="s">
        <v>222</v>
      </c>
      <c r="H133" s="13">
        <v>2.0</v>
      </c>
      <c r="I133" s="14" t="s">
        <v>61</v>
      </c>
      <c r="J133" s="15" t="s">
        <v>672</v>
      </c>
      <c r="K133" s="14" t="str">
        <f t="shared" si="1"/>
        <v>03</v>
      </c>
      <c r="L133" s="14" t="s">
        <v>673</v>
      </c>
      <c r="M133" s="14" t="s">
        <v>748</v>
      </c>
      <c r="N133" s="14" t="s">
        <v>643</v>
      </c>
      <c r="O133" s="14" t="s">
        <v>64</v>
      </c>
      <c r="P133" s="14" t="s">
        <v>749</v>
      </c>
      <c r="Q133" s="16">
        <v>46230.0</v>
      </c>
    </row>
    <row r="134">
      <c r="A134" s="13">
        <v>133.0</v>
      </c>
      <c r="B134" s="14" t="s">
        <v>246</v>
      </c>
      <c r="C134" s="14" t="s">
        <v>247</v>
      </c>
      <c r="D134" s="14" t="s">
        <v>248</v>
      </c>
      <c r="E134" s="14" t="s">
        <v>526</v>
      </c>
      <c r="F134" s="14" t="s">
        <v>527</v>
      </c>
      <c r="G134" s="14" t="s">
        <v>222</v>
      </c>
      <c r="H134" s="13">
        <v>2.0</v>
      </c>
      <c r="I134" s="14" t="s">
        <v>42</v>
      </c>
      <c r="J134" s="15" t="s">
        <v>672</v>
      </c>
      <c r="K134" s="14" t="str">
        <f t="shared" si="1"/>
        <v>03</v>
      </c>
      <c r="L134" s="14" t="s">
        <v>673</v>
      </c>
      <c r="M134" s="14" t="s">
        <v>750</v>
      </c>
      <c r="N134" s="14" t="s">
        <v>531</v>
      </c>
      <c r="O134" s="16">
        <v>46291.0</v>
      </c>
      <c r="P134" s="14" t="s">
        <v>751</v>
      </c>
      <c r="Q134" s="16">
        <v>46230.0</v>
      </c>
    </row>
    <row r="135">
      <c r="A135" s="13">
        <v>134.0</v>
      </c>
      <c r="B135" s="14" t="s">
        <v>246</v>
      </c>
      <c r="C135" s="14" t="s">
        <v>247</v>
      </c>
      <c r="D135" s="14" t="s">
        <v>248</v>
      </c>
      <c r="E135" s="14" t="s">
        <v>253</v>
      </c>
      <c r="F135" s="14" t="s">
        <v>40</v>
      </c>
      <c r="G135" s="14" t="s">
        <v>222</v>
      </c>
      <c r="H135" s="13">
        <v>2.0</v>
      </c>
      <c r="I135" s="14" t="s">
        <v>42</v>
      </c>
      <c r="J135" s="15" t="s">
        <v>672</v>
      </c>
      <c r="K135" s="14" t="str">
        <f t="shared" si="1"/>
        <v>03</v>
      </c>
      <c r="L135" s="14" t="s">
        <v>673</v>
      </c>
      <c r="M135" s="14" t="s">
        <v>752</v>
      </c>
      <c r="N135" s="14" t="s">
        <v>753</v>
      </c>
      <c r="O135" s="16">
        <v>46290.0</v>
      </c>
      <c r="P135" s="14" t="s">
        <v>754</v>
      </c>
      <c r="Q135" s="16">
        <v>46230.0</v>
      </c>
    </row>
    <row r="136">
      <c r="A136" s="13">
        <v>135.0</v>
      </c>
      <c r="B136" s="14" t="s">
        <v>246</v>
      </c>
      <c r="C136" s="14" t="s">
        <v>247</v>
      </c>
      <c r="D136" s="14" t="s">
        <v>248</v>
      </c>
      <c r="E136" s="14" t="s">
        <v>577</v>
      </c>
      <c r="F136" s="14" t="s">
        <v>489</v>
      </c>
      <c r="G136" s="14" t="s">
        <v>222</v>
      </c>
      <c r="H136" s="13">
        <v>2.0</v>
      </c>
      <c r="I136" s="14" t="s">
        <v>42</v>
      </c>
      <c r="J136" s="15" t="s">
        <v>672</v>
      </c>
      <c r="K136" s="14" t="str">
        <f t="shared" si="1"/>
        <v>03</v>
      </c>
      <c r="L136" s="14" t="s">
        <v>673</v>
      </c>
      <c r="M136" s="14" t="s">
        <v>755</v>
      </c>
      <c r="N136" s="14" t="s">
        <v>756</v>
      </c>
      <c r="O136" s="16">
        <v>46291.0</v>
      </c>
      <c r="P136" s="14" t="s">
        <v>754</v>
      </c>
      <c r="Q136" s="16">
        <v>46230.0</v>
      </c>
    </row>
    <row r="137">
      <c r="A137" s="13">
        <v>136.0</v>
      </c>
      <c r="B137" s="14" t="s">
        <v>257</v>
      </c>
      <c r="C137" s="14" t="s">
        <v>258</v>
      </c>
      <c r="D137" s="14" t="s">
        <v>259</v>
      </c>
      <c r="E137" s="14" t="s">
        <v>260</v>
      </c>
      <c r="F137" s="14" t="s">
        <v>250</v>
      </c>
      <c r="G137" s="14" t="s">
        <v>261</v>
      </c>
      <c r="H137" s="13">
        <v>2.0</v>
      </c>
      <c r="I137" s="14" t="s">
        <v>42</v>
      </c>
      <c r="J137" s="15" t="s">
        <v>672</v>
      </c>
      <c r="K137" s="14" t="str">
        <f t="shared" si="1"/>
        <v>03</v>
      </c>
      <c r="L137" s="14" t="s">
        <v>673</v>
      </c>
      <c r="M137" s="14" t="s">
        <v>757</v>
      </c>
      <c r="N137" s="14" t="s">
        <v>758</v>
      </c>
      <c r="O137" s="16">
        <v>46318.0</v>
      </c>
      <c r="Q137" s="16">
        <v>46232.0</v>
      </c>
    </row>
    <row r="138">
      <c r="A138" s="13">
        <v>137.0</v>
      </c>
      <c r="B138" s="14" t="s">
        <v>302</v>
      </c>
      <c r="C138" s="14" t="s">
        <v>303</v>
      </c>
      <c r="D138" s="14" t="s">
        <v>304</v>
      </c>
      <c r="E138" s="14" t="s">
        <v>305</v>
      </c>
      <c r="F138" s="14" t="s">
        <v>162</v>
      </c>
      <c r="G138" s="14" t="s">
        <v>261</v>
      </c>
      <c r="H138" s="13">
        <v>2.0</v>
      </c>
      <c r="I138" s="14" t="s">
        <v>42</v>
      </c>
      <c r="J138" s="15" t="s">
        <v>672</v>
      </c>
      <c r="K138" s="14" t="str">
        <f t="shared" si="1"/>
        <v>03</v>
      </c>
      <c r="L138" s="14" t="s">
        <v>673</v>
      </c>
      <c r="M138" s="14" t="s">
        <v>759</v>
      </c>
      <c r="N138" s="14" t="s">
        <v>670</v>
      </c>
      <c r="O138" s="14" t="s">
        <v>64</v>
      </c>
      <c r="P138" s="14" t="s">
        <v>760</v>
      </c>
      <c r="Q138" s="16">
        <v>46271.0</v>
      </c>
    </row>
    <row r="139">
      <c r="A139" s="13">
        <v>138.0</v>
      </c>
      <c r="B139" s="14" t="s">
        <v>310</v>
      </c>
      <c r="C139" s="14" t="s">
        <v>311</v>
      </c>
      <c r="D139" s="14" t="s">
        <v>313</v>
      </c>
      <c r="E139" s="14" t="s">
        <v>314</v>
      </c>
      <c r="F139" s="14" t="s">
        <v>162</v>
      </c>
      <c r="G139" s="14" t="s">
        <v>261</v>
      </c>
      <c r="H139" s="13">
        <v>2.0</v>
      </c>
      <c r="I139" s="14" t="s">
        <v>61</v>
      </c>
      <c r="J139" s="15" t="s">
        <v>672</v>
      </c>
      <c r="K139" s="14" t="str">
        <f t="shared" si="1"/>
        <v>03</v>
      </c>
      <c r="L139" s="14" t="s">
        <v>673</v>
      </c>
      <c r="M139" s="14" t="s">
        <v>761</v>
      </c>
      <c r="N139" s="14" t="s">
        <v>762</v>
      </c>
      <c r="O139" s="14" t="s">
        <v>64</v>
      </c>
      <c r="P139" s="14" t="s">
        <v>763</v>
      </c>
      <c r="Q139" s="16">
        <v>46252.0</v>
      </c>
    </row>
    <row r="140">
      <c r="A140" s="13">
        <v>139.0</v>
      </c>
      <c r="B140" s="14" t="s">
        <v>504</v>
      </c>
      <c r="C140" s="14" t="s">
        <v>505</v>
      </c>
      <c r="D140" s="14" t="s">
        <v>506</v>
      </c>
      <c r="E140" s="14" t="s">
        <v>507</v>
      </c>
      <c r="F140" s="14" t="s">
        <v>70</v>
      </c>
      <c r="G140" s="14" t="s">
        <v>329</v>
      </c>
      <c r="H140" s="13">
        <v>2.0</v>
      </c>
      <c r="I140" s="14" t="s">
        <v>61</v>
      </c>
      <c r="J140" s="15" t="s">
        <v>672</v>
      </c>
      <c r="K140" s="14" t="str">
        <f t="shared" si="1"/>
        <v>03</v>
      </c>
      <c r="L140" s="14" t="s">
        <v>673</v>
      </c>
      <c r="M140" s="14" t="s">
        <v>764</v>
      </c>
      <c r="N140" s="14" t="s">
        <v>765</v>
      </c>
      <c r="O140" s="16">
        <v>46331.0</v>
      </c>
      <c r="P140" s="14" t="s">
        <v>766</v>
      </c>
      <c r="Q140" s="16">
        <v>46283.0</v>
      </c>
    </row>
    <row r="141">
      <c r="A141" s="13">
        <v>140.0</v>
      </c>
      <c r="B141" s="14" t="s">
        <v>767</v>
      </c>
      <c r="C141" s="14" t="s">
        <v>768</v>
      </c>
      <c r="D141" s="14" t="s">
        <v>769</v>
      </c>
      <c r="E141" s="14" t="s">
        <v>770</v>
      </c>
      <c r="F141" s="14" t="s">
        <v>178</v>
      </c>
      <c r="G141" s="14" t="s">
        <v>109</v>
      </c>
      <c r="H141" s="13">
        <v>2.0</v>
      </c>
      <c r="I141" s="14" t="s">
        <v>61</v>
      </c>
      <c r="J141" s="15" t="s">
        <v>771</v>
      </c>
      <c r="K141" s="14" t="str">
        <f t="shared" si="1"/>
        <v>03</v>
      </c>
      <c r="L141" s="14" t="s">
        <v>772</v>
      </c>
      <c r="M141" s="14" t="s">
        <v>773</v>
      </c>
      <c r="N141" s="14" t="s">
        <v>774</v>
      </c>
      <c r="O141" s="14" t="s">
        <v>64</v>
      </c>
      <c r="P141" s="14" t="s">
        <v>775</v>
      </c>
      <c r="Q141" s="16">
        <v>46171.0</v>
      </c>
    </row>
    <row r="142">
      <c r="A142" s="13">
        <v>141.0</v>
      </c>
      <c r="B142" s="14" t="s">
        <v>767</v>
      </c>
      <c r="C142" s="14" t="s">
        <v>768</v>
      </c>
      <c r="D142" s="14" t="s">
        <v>769</v>
      </c>
      <c r="E142" s="14" t="s">
        <v>776</v>
      </c>
      <c r="F142" s="14" t="s">
        <v>60</v>
      </c>
      <c r="G142" s="14" t="s">
        <v>109</v>
      </c>
      <c r="H142" s="13">
        <v>2.0</v>
      </c>
      <c r="I142" s="14" t="s">
        <v>61</v>
      </c>
      <c r="J142" s="15" t="s">
        <v>771</v>
      </c>
      <c r="K142" s="14" t="str">
        <f t="shared" si="1"/>
        <v>03</v>
      </c>
      <c r="L142" s="14" t="s">
        <v>772</v>
      </c>
      <c r="M142" s="14" t="s">
        <v>773</v>
      </c>
      <c r="N142" s="14" t="s">
        <v>777</v>
      </c>
      <c r="O142" s="14" t="s">
        <v>64</v>
      </c>
      <c r="P142" s="14" t="s">
        <v>778</v>
      </c>
      <c r="Q142" s="16">
        <v>46171.0</v>
      </c>
    </row>
    <row r="143">
      <c r="A143" s="13">
        <v>142.0</v>
      </c>
      <c r="B143" s="14" t="s">
        <v>779</v>
      </c>
      <c r="C143" s="14" t="s">
        <v>780</v>
      </c>
      <c r="D143" s="14" t="s">
        <v>781</v>
      </c>
      <c r="E143" s="14" t="s">
        <v>782</v>
      </c>
      <c r="F143" s="14" t="s">
        <v>40</v>
      </c>
      <c r="G143" s="14" t="s">
        <v>146</v>
      </c>
      <c r="H143" s="13">
        <v>2.0</v>
      </c>
      <c r="I143" s="14" t="s">
        <v>61</v>
      </c>
      <c r="J143" s="15" t="s">
        <v>771</v>
      </c>
      <c r="K143" s="14" t="str">
        <f t="shared" si="1"/>
        <v>03</v>
      </c>
      <c r="L143" s="14" t="s">
        <v>772</v>
      </c>
      <c r="M143" s="14" t="s">
        <v>783</v>
      </c>
      <c r="N143" s="14" t="s">
        <v>784</v>
      </c>
      <c r="O143" s="14" t="s">
        <v>64</v>
      </c>
      <c r="P143" s="14" t="s">
        <v>785</v>
      </c>
      <c r="Q143" s="16">
        <v>46274.0</v>
      </c>
    </row>
    <row r="144">
      <c r="A144" s="13">
        <v>143.0</v>
      </c>
      <c r="B144" s="14" t="s">
        <v>786</v>
      </c>
      <c r="C144" s="14" t="s">
        <v>787</v>
      </c>
      <c r="D144" s="14" t="s">
        <v>788</v>
      </c>
      <c r="E144" s="14" t="s">
        <v>789</v>
      </c>
      <c r="F144" s="14" t="s">
        <v>207</v>
      </c>
      <c r="G144" s="14" t="s">
        <v>191</v>
      </c>
      <c r="H144" s="13">
        <v>2.0</v>
      </c>
      <c r="I144" s="14" t="s">
        <v>42</v>
      </c>
      <c r="J144" s="15" t="s">
        <v>771</v>
      </c>
      <c r="K144" s="14" t="str">
        <f t="shared" si="1"/>
        <v>03</v>
      </c>
      <c r="L144" s="14" t="s">
        <v>772</v>
      </c>
      <c r="M144" s="14" t="s">
        <v>790</v>
      </c>
      <c r="N144" s="14" t="s">
        <v>791</v>
      </c>
      <c r="O144" s="16">
        <v>46381.0</v>
      </c>
      <c r="Q144" s="16">
        <v>46217.0</v>
      </c>
    </row>
    <row r="145">
      <c r="A145" s="13">
        <v>144.0</v>
      </c>
      <c r="B145" s="14" t="s">
        <v>48</v>
      </c>
      <c r="C145" s="14" t="s">
        <v>49</v>
      </c>
      <c r="D145" s="14" t="s">
        <v>50</v>
      </c>
      <c r="E145" s="14" t="s">
        <v>677</v>
      </c>
      <c r="F145" s="14" t="s">
        <v>527</v>
      </c>
      <c r="G145" s="14" t="s">
        <v>41</v>
      </c>
      <c r="H145" s="13">
        <v>2.0</v>
      </c>
      <c r="I145" s="14" t="s">
        <v>61</v>
      </c>
      <c r="J145" s="15" t="s">
        <v>792</v>
      </c>
      <c r="K145" s="14" t="str">
        <f t="shared" si="1"/>
        <v>04</v>
      </c>
      <c r="L145" s="14" t="s">
        <v>793</v>
      </c>
      <c r="M145" s="14" t="s">
        <v>794</v>
      </c>
      <c r="N145" s="14" t="s">
        <v>795</v>
      </c>
      <c r="O145" s="16">
        <v>46265.0</v>
      </c>
      <c r="P145" s="14" t="s">
        <v>796</v>
      </c>
      <c r="Q145" s="16">
        <v>46147.0</v>
      </c>
    </row>
    <row r="146">
      <c r="A146" s="13">
        <v>145.0</v>
      </c>
      <c r="B146" s="14" t="s">
        <v>608</v>
      </c>
      <c r="C146" s="14" t="s">
        <v>609</v>
      </c>
      <c r="D146" s="14" t="s">
        <v>610</v>
      </c>
      <c r="E146" s="14" t="s">
        <v>611</v>
      </c>
      <c r="F146" s="14" t="s">
        <v>40</v>
      </c>
      <c r="G146" s="14" t="s">
        <v>109</v>
      </c>
      <c r="H146" s="13">
        <v>2.0</v>
      </c>
      <c r="I146" s="14" t="s">
        <v>61</v>
      </c>
      <c r="J146" s="15" t="s">
        <v>792</v>
      </c>
      <c r="K146" s="14" t="str">
        <f t="shared" si="1"/>
        <v>04</v>
      </c>
      <c r="L146" s="14" t="s">
        <v>793</v>
      </c>
      <c r="M146" s="14" t="s">
        <v>797</v>
      </c>
      <c r="N146" s="14" t="s">
        <v>798</v>
      </c>
      <c r="O146" s="14" t="s">
        <v>64</v>
      </c>
      <c r="P146" s="14" t="s">
        <v>799</v>
      </c>
      <c r="Q146" s="16">
        <v>46210.0</v>
      </c>
    </row>
    <row r="147">
      <c r="A147" s="13">
        <v>146.0</v>
      </c>
      <c r="B147" s="14" t="s">
        <v>135</v>
      </c>
      <c r="C147" s="14" t="s">
        <v>136</v>
      </c>
      <c r="D147" s="14" t="s">
        <v>137</v>
      </c>
      <c r="E147" s="14" t="s">
        <v>138</v>
      </c>
      <c r="F147" s="14" t="s">
        <v>40</v>
      </c>
      <c r="G147" s="14" t="s">
        <v>124</v>
      </c>
      <c r="H147" s="13">
        <v>2.0</v>
      </c>
      <c r="I147" s="14" t="s">
        <v>61</v>
      </c>
      <c r="J147" s="15" t="s">
        <v>792</v>
      </c>
      <c r="K147" s="14" t="str">
        <f t="shared" si="1"/>
        <v>04</v>
      </c>
      <c r="L147" s="14" t="s">
        <v>793</v>
      </c>
      <c r="M147" s="14" t="s">
        <v>800</v>
      </c>
      <c r="N147" s="14" t="s">
        <v>801</v>
      </c>
      <c r="O147" s="16">
        <v>46304.0</v>
      </c>
      <c r="P147" s="14" t="s">
        <v>802</v>
      </c>
      <c r="Q147" s="16">
        <v>46233.0</v>
      </c>
    </row>
    <row r="148">
      <c r="A148" s="13">
        <v>147.0</v>
      </c>
      <c r="B148" s="14" t="s">
        <v>779</v>
      </c>
      <c r="C148" s="14" t="s">
        <v>780</v>
      </c>
      <c r="D148" s="14" t="s">
        <v>781</v>
      </c>
      <c r="E148" s="14" t="s">
        <v>782</v>
      </c>
      <c r="F148" s="14" t="s">
        <v>40</v>
      </c>
      <c r="G148" s="14" t="s">
        <v>146</v>
      </c>
      <c r="H148" s="13">
        <v>2.0</v>
      </c>
      <c r="I148" s="14" t="s">
        <v>61</v>
      </c>
      <c r="J148" s="15" t="s">
        <v>792</v>
      </c>
      <c r="K148" s="14" t="str">
        <f t="shared" si="1"/>
        <v>04</v>
      </c>
      <c r="L148" s="14" t="s">
        <v>793</v>
      </c>
      <c r="M148" s="14" t="s">
        <v>803</v>
      </c>
      <c r="N148" s="14" t="s">
        <v>804</v>
      </c>
      <c r="O148" s="14" t="s">
        <v>64</v>
      </c>
      <c r="P148" s="14" t="s">
        <v>805</v>
      </c>
      <c r="Q148" s="16">
        <v>46274.0</v>
      </c>
    </row>
    <row r="149">
      <c r="A149" s="13">
        <v>148.0</v>
      </c>
      <c r="B149" s="14" t="s">
        <v>181</v>
      </c>
      <c r="C149" s="14" t="s">
        <v>182</v>
      </c>
      <c r="D149" s="14" t="s">
        <v>183</v>
      </c>
      <c r="E149" s="14" t="s">
        <v>184</v>
      </c>
      <c r="F149" s="14" t="s">
        <v>40</v>
      </c>
      <c r="G149" s="14" t="s">
        <v>146</v>
      </c>
      <c r="H149" s="13">
        <v>2.0</v>
      </c>
      <c r="I149" s="14" t="s">
        <v>42</v>
      </c>
      <c r="J149" s="15" t="s">
        <v>792</v>
      </c>
      <c r="K149" s="14" t="str">
        <f t="shared" si="1"/>
        <v>04</v>
      </c>
      <c r="L149" s="14" t="s">
        <v>793</v>
      </c>
      <c r="M149" s="14" t="s">
        <v>806</v>
      </c>
      <c r="N149" s="14" t="s">
        <v>807</v>
      </c>
      <c r="O149" s="16">
        <v>46304.0</v>
      </c>
      <c r="Q149" s="16">
        <v>46198.0</v>
      </c>
    </row>
    <row r="150">
      <c r="A150" s="13">
        <v>149.0</v>
      </c>
      <c r="B150" s="14" t="s">
        <v>723</v>
      </c>
      <c r="C150" s="14" t="s">
        <v>724</v>
      </c>
      <c r="D150" s="14" t="s">
        <v>725</v>
      </c>
      <c r="E150" s="14" t="s">
        <v>726</v>
      </c>
      <c r="F150" s="14" t="s">
        <v>162</v>
      </c>
      <c r="G150" s="14" t="s">
        <v>146</v>
      </c>
      <c r="H150" s="13">
        <v>2.0</v>
      </c>
      <c r="I150" s="14" t="s">
        <v>42</v>
      </c>
      <c r="J150" s="15" t="s">
        <v>792</v>
      </c>
      <c r="K150" s="14" t="str">
        <f t="shared" si="1"/>
        <v>04</v>
      </c>
      <c r="L150" s="14" t="s">
        <v>793</v>
      </c>
      <c r="M150" s="14" t="s">
        <v>808</v>
      </c>
      <c r="N150" s="14" t="s">
        <v>809</v>
      </c>
      <c r="O150" s="16">
        <v>46310.0</v>
      </c>
      <c r="Q150" s="16">
        <v>46198.0</v>
      </c>
    </row>
    <row r="151">
      <c r="A151" s="13">
        <v>150.0</v>
      </c>
      <c r="B151" s="14" t="s">
        <v>520</v>
      </c>
      <c r="C151" s="14" t="s">
        <v>521</v>
      </c>
      <c r="D151" s="14" t="s">
        <v>522</v>
      </c>
      <c r="E151" s="14" t="s">
        <v>523</v>
      </c>
      <c r="F151" s="14" t="s">
        <v>40</v>
      </c>
      <c r="G151" s="14" t="s">
        <v>261</v>
      </c>
      <c r="H151" s="13">
        <v>2.0</v>
      </c>
      <c r="I151" s="14" t="s">
        <v>42</v>
      </c>
      <c r="J151" s="15" t="s">
        <v>792</v>
      </c>
      <c r="K151" s="14" t="str">
        <f t="shared" si="1"/>
        <v>04</v>
      </c>
      <c r="L151" s="14" t="s">
        <v>793</v>
      </c>
      <c r="M151" s="14" t="s">
        <v>810</v>
      </c>
      <c r="N151" s="14" t="s">
        <v>811</v>
      </c>
      <c r="O151" s="16">
        <v>46316.0</v>
      </c>
      <c r="Q151" s="16">
        <v>46232.0</v>
      </c>
    </row>
    <row r="152">
      <c r="A152" s="13">
        <v>151.0</v>
      </c>
      <c r="B152" s="14" t="s">
        <v>272</v>
      </c>
      <c r="C152" s="14" t="s">
        <v>273</v>
      </c>
      <c r="D152" s="14" t="s">
        <v>274</v>
      </c>
      <c r="E152" s="14" t="s">
        <v>275</v>
      </c>
      <c r="F152" s="14" t="s">
        <v>40</v>
      </c>
      <c r="G152" s="14" t="s">
        <v>261</v>
      </c>
      <c r="H152" s="13">
        <v>2.0</v>
      </c>
      <c r="I152" s="14" t="s">
        <v>42</v>
      </c>
      <c r="J152" s="15" t="s">
        <v>792</v>
      </c>
      <c r="K152" s="14" t="str">
        <f t="shared" si="1"/>
        <v>04</v>
      </c>
      <c r="L152" s="14" t="s">
        <v>793</v>
      </c>
      <c r="M152" s="14" t="s">
        <v>812</v>
      </c>
      <c r="N152" s="14" t="s">
        <v>813</v>
      </c>
      <c r="O152" s="16">
        <v>46318.0</v>
      </c>
      <c r="Q152" s="16">
        <v>46233.0</v>
      </c>
    </row>
    <row r="153">
      <c r="A153" s="13">
        <v>152.0</v>
      </c>
      <c r="B153" s="14" t="s">
        <v>814</v>
      </c>
      <c r="C153" s="14" t="s">
        <v>815</v>
      </c>
      <c r="D153" s="14" t="s">
        <v>816</v>
      </c>
      <c r="E153" s="14" t="s">
        <v>817</v>
      </c>
      <c r="F153" s="14" t="s">
        <v>40</v>
      </c>
      <c r="G153" s="14" t="s">
        <v>329</v>
      </c>
      <c r="H153" s="13">
        <v>2.0</v>
      </c>
      <c r="I153" s="14" t="s">
        <v>61</v>
      </c>
      <c r="J153" s="15" t="s">
        <v>792</v>
      </c>
      <c r="K153" s="14" t="str">
        <f t="shared" si="1"/>
        <v>04</v>
      </c>
      <c r="L153" s="14" t="s">
        <v>793</v>
      </c>
      <c r="M153" s="14" t="s">
        <v>818</v>
      </c>
      <c r="N153" s="14" t="s">
        <v>819</v>
      </c>
      <c r="O153" s="14" t="s">
        <v>64</v>
      </c>
      <c r="P153" s="14" t="s">
        <v>820</v>
      </c>
      <c r="Q153" s="16">
        <v>46265.0</v>
      </c>
    </row>
    <row r="154">
      <c r="A154" s="13">
        <v>153.0</v>
      </c>
      <c r="B154" s="14" t="s">
        <v>36</v>
      </c>
      <c r="C154" s="14" t="s">
        <v>37</v>
      </c>
      <c r="D154" s="14" t="s">
        <v>38</v>
      </c>
      <c r="E154" s="14" t="s">
        <v>39</v>
      </c>
      <c r="F154" s="14" t="s">
        <v>40</v>
      </c>
      <c r="G154" s="14" t="s">
        <v>41</v>
      </c>
      <c r="H154" s="13">
        <v>2.0</v>
      </c>
      <c r="I154" s="14" t="s">
        <v>42</v>
      </c>
      <c r="J154" s="15" t="s">
        <v>821</v>
      </c>
      <c r="K154" s="14" t="str">
        <f t="shared" si="1"/>
        <v>04</v>
      </c>
      <c r="L154" s="14" t="s">
        <v>822</v>
      </c>
      <c r="M154" s="14" t="s">
        <v>823</v>
      </c>
      <c r="N154" s="14" t="s">
        <v>824</v>
      </c>
      <c r="O154" s="16">
        <v>46241.0</v>
      </c>
      <c r="Q154" s="16">
        <v>46147.0</v>
      </c>
    </row>
    <row r="155">
      <c r="A155" s="13">
        <v>154.0</v>
      </c>
      <c r="B155" s="14" t="s">
        <v>586</v>
      </c>
      <c r="C155" s="14" t="s">
        <v>587</v>
      </c>
      <c r="D155" s="14" t="s">
        <v>588</v>
      </c>
      <c r="E155" s="14" t="s">
        <v>589</v>
      </c>
      <c r="F155" s="14" t="s">
        <v>40</v>
      </c>
      <c r="G155" s="14" t="s">
        <v>41</v>
      </c>
      <c r="H155" s="13">
        <v>2.0</v>
      </c>
      <c r="I155" s="14" t="s">
        <v>42</v>
      </c>
      <c r="J155" s="15" t="s">
        <v>821</v>
      </c>
      <c r="K155" s="14" t="str">
        <f t="shared" si="1"/>
        <v>04</v>
      </c>
      <c r="L155" s="14" t="s">
        <v>822</v>
      </c>
      <c r="M155" s="14" t="s">
        <v>825</v>
      </c>
      <c r="N155" s="14" t="s">
        <v>826</v>
      </c>
      <c r="O155" s="16">
        <v>46265.0</v>
      </c>
      <c r="Q155" s="16">
        <v>46147.0</v>
      </c>
    </row>
    <row r="156">
      <c r="A156" s="13">
        <v>155.0</v>
      </c>
      <c r="B156" s="14" t="s">
        <v>48</v>
      </c>
      <c r="C156" s="14" t="s">
        <v>49</v>
      </c>
      <c r="D156" s="14" t="s">
        <v>50</v>
      </c>
      <c r="E156" s="14" t="s">
        <v>51</v>
      </c>
      <c r="F156" s="14" t="s">
        <v>40</v>
      </c>
      <c r="G156" s="14" t="s">
        <v>41</v>
      </c>
      <c r="H156" s="13">
        <v>2.0</v>
      </c>
      <c r="I156" s="14" t="s">
        <v>42</v>
      </c>
      <c r="J156" s="15" t="s">
        <v>821</v>
      </c>
      <c r="K156" s="14" t="str">
        <f t="shared" si="1"/>
        <v>04</v>
      </c>
      <c r="L156" s="14" t="s">
        <v>822</v>
      </c>
      <c r="M156" s="14" t="s">
        <v>827</v>
      </c>
      <c r="N156" s="14" t="s">
        <v>828</v>
      </c>
      <c r="O156" s="16">
        <v>46262.0</v>
      </c>
      <c r="Q156" s="16">
        <v>46147.0</v>
      </c>
    </row>
    <row r="157">
      <c r="A157" s="13">
        <v>156.0</v>
      </c>
      <c r="B157" s="14" t="s">
        <v>48</v>
      </c>
      <c r="C157" s="14" t="s">
        <v>49</v>
      </c>
      <c r="D157" s="14" t="s">
        <v>50</v>
      </c>
      <c r="E157" s="14" t="s">
        <v>829</v>
      </c>
      <c r="F157" s="14" t="s">
        <v>489</v>
      </c>
      <c r="G157" s="14" t="s">
        <v>41</v>
      </c>
      <c r="H157" s="13">
        <v>2.0</v>
      </c>
      <c r="I157" s="14" t="s">
        <v>61</v>
      </c>
      <c r="J157" s="15" t="s">
        <v>821</v>
      </c>
      <c r="K157" s="14" t="str">
        <f t="shared" si="1"/>
        <v>04</v>
      </c>
      <c r="L157" s="14" t="s">
        <v>822</v>
      </c>
      <c r="M157" s="14" t="s">
        <v>830</v>
      </c>
      <c r="N157" s="14" t="s">
        <v>831</v>
      </c>
      <c r="O157" s="16">
        <v>46257.0</v>
      </c>
      <c r="P157" s="14" t="s">
        <v>832</v>
      </c>
      <c r="Q157" s="16">
        <v>46226.0</v>
      </c>
    </row>
    <row r="158">
      <c r="A158" s="13">
        <v>157.0</v>
      </c>
      <c r="B158" s="14" t="s">
        <v>56</v>
      </c>
      <c r="C158" s="14" t="s">
        <v>57</v>
      </c>
      <c r="D158" s="14" t="s">
        <v>58</v>
      </c>
      <c r="E158" s="14" t="s">
        <v>59</v>
      </c>
      <c r="F158" s="14" t="s">
        <v>60</v>
      </c>
      <c r="G158" s="14" t="s">
        <v>41</v>
      </c>
      <c r="H158" s="13">
        <v>2.0</v>
      </c>
      <c r="I158" s="14" t="s">
        <v>61</v>
      </c>
      <c r="J158" s="15" t="s">
        <v>821</v>
      </c>
      <c r="K158" s="14" t="str">
        <f t="shared" si="1"/>
        <v>04</v>
      </c>
      <c r="L158" s="14" t="s">
        <v>822</v>
      </c>
      <c r="M158" s="14" t="s">
        <v>833</v>
      </c>
      <c r="N158" s="14" t="s">
        <v>834</v>
      </c>
      <c r="O158" s="14" t="s">
        <v>64</v>
      </c>
      <c r="P158" s="14" t="s">
        <v>835</v>
      </c>
      <c r="Q158" s="16">
        <v>46188.0</v>
      </c>
    </row>
    <row r="159">
      <c r="A159" s="13">
        <v>158.0</v>
      </c>
      <c r="B159" s="14" t="s">
        <v>836</v>
      </c>
      <c r="C159" s="14" t="s">
        <v>837</v>
      </c>
      <c r="D159" s="14" t="s">
        <v>838</v>
      </c>
      <c r="E159" s="14" t="s">
        <v>839</v>
      </c>
      <c r="F159" s="14" t="s">
        <v>40</v>
      </c>
      <c r="G159" s="14" t="s">
        <v>41</v>
      </c>
      <c r="H159" s="13">
        <v>2.0</v>
      </c>
      <c r="I159" s="14" t="s">
        <v>42</v>
      </c>
      <c r="J159" s="15" t="s">
        <v>821</v>
      </c>
      <c r="K159" s="14" t="str">
        <f t="shared" si="1"/>
        <v>04</v>
      </c>
      <c r="L159" s="14" t="s">
        <v>822</v>
      </c>
      <c r="M159" s="14" t="s">
        <v>840</v>
      </c>
      <c r="N159" s="14" t="s">
        <v>841</v>
      </c>
      <c r="O159" s="16">
        <v>46265.0</v>
      </c>
      <c r="Q159" s="16">
        <v>46147.0</v>
      </c>
    </row>
    <row r="160">
      <c r="A160" s="13">
        <v>159.0</v>
      </c>
      <c r="B160" s="14" t="s">
        <v>842</v>
      </c>
      <c r="C160" s="14" t="s">
        <v>843</v>
      </c>
      <c r="D160" s="14" t="s">
        <v>844</v>
      </c>
      <c r="E160" s="14" t="s">
        <v>845</v>
      </c>
      <c r="F160" s="14" t="s">
        <v>40</v>
      </c>
      <c r="G160" s="14" t="s">
        <v>41</v>
      </c>
      <c r="H160" s="13">
        <v>2.0</v>
      </c>
      <c r="I160" s="14" t="s">
        <v>61</v>
      </c>
      <c r="J160" s="15" t="s">
        <v>821</v>
      </c>
      <c r="K160" s="14" t="str">
        <f t="shared" si="1"/>
        <v>04</v>
      </c>
      <c r="L160" s="14" t="s">
        <v>822</v>
      </c>
      <c r="M160" s="14" t="s">
        <v>846</v>
      </c>
      <c r="N160" s="14" t="s">
        <v>847</v>
      </c>
      <c r="O160" s="14" t="s">
        <v>64</v>
      </c>
      <c r="P160" s="14" t="s">
        <v>848</v>
      </c>
      <c r="Q160" s="16">
        <v>46204.0</v>
      </c>
    </row>
    <row r="161">
      <c r="A161" s="13">
        <v>160.0</v>
      </c>
      <c r="B161" s="14" t="s">
        <v>426</v>
      </c>
      <c r="C161" s="14" t="s">
        <v>427</v>
      </c>
      <c r="D161" s="14" t="s">
        <v>429</v>
      </c>
      <c r="E161" s="14" t="s">
        <v>430</v>
      </c>
      <c r="F161" s="14" t="s">
        <v>250</v>
      </c>
      <c r="G161" s="14" t="s">
        <v>41</v>
      </c>
      <c r="H161" s="13">
        <v>2.0</v>
      </c>
      <c r="I161" s="14" t="s">
        <v>61</v>
      </c>
      <c r="J161" s="15" t="s">
        <v>821</v>
      </c>
      <c r="K161" s="14" t="str">
        <f t="shared" si="1"/>
        <v>04</v>
      </c>
      <c r="L161" s="14" t="s">
        <v>822</v>
      </c>
      <c r="M161" s="14" t="s">
        <v>849</v>
      </c>
      <c r="N161" s="14" t="s">
        <v>850</v>
      </c>
      <c r="O161" s="14" t="s">
        <v>64</v>
      </c>
      <c r="P161" s="14" t="s">
        <v>851</v>
      </c>
      <c r="Q161" s="16">
        <v>46161.0</v>
      </c>
    </row>
    <row r="162">
      <c r="A162" s="13">
        <v>161.0</v>
      </c>
      <c r="B162" s="14" t="s">
        <v>852</v>
      </c>
      <c r="C162" s="14" t="s">
        <v>853</v>
      </c>
      <c r="D162" s="14" t="s">
        <v>854</v>
      </c>
      <c r="E162" s="14" t="s">
        <v>855</v>
      </c>
      <c r="F162" s="14" t="s">
        <v>40</v>
      </c>
      <c r="G162" s="14" t="s">
        <v>41</v>
      </c>
      <c r="H162" s="13">
        <v>2.0</v>
      </c>
      <c r="I162" s="14" t="s">
        <v>61</v>
      </c>
      <c r="J162" s="15" t="s">
        <v>821</v>
      </c>
      <c r="K162" s="14" t="str">
        <f t="shared" si="1"/>
        <v>04</v>
      </c>
      <c r="L162" s="14" t="s">
        <v>822</v>
      </c>
      <c r="M162" s="14" t="s">
        <v>856</v>
      </c>
      <c r="N162" s="14" t="s">
        <v>857</v>
      </c>
      <c r="O162" s="14" t="s">
        <v>64</v>
      </c>
      <c r="P162" s="14" t="s">
        <v>858</v>
      </c>
      <c r="Q162" s="16">
        <v>46162.0</v>
      </c>
    </row>
    <row r="163">
      <c r="A163" s="13">
        <v>162.0</v>
      </c>
      <c r="B163" s="14" t="s">
        <v>601</v>
      </c>
      <c r="C163" s="14" t="s">
        <v>602</v>
      </c>
      <c r="D163" s="14" t="s">
        <v>603</v>
      </c>
      <c r="E163" s="14" t="s">
        <v>604</v>
      </c>
      <c r="F163" s="14" t="s">
        <v>40</v>
      </c>
      <c r="G163" s="14" t="s">
        <v>109</v>
      </c>
      <c r="H163" s="13">
        <v>2.0</v>
      </c>
      <c r="I163" s="14" t="s">
        <v>61</v>
      </c>
      <c r="J163" s="15" t="s">
        <v>821</v>
      </c>
      <c r="K163" s="14" t="str">
        <f t="shared" si="1"/>
        <v>04</v>
      </c>
      <c r="L163" s="14" t="s">
        <v>822</v>
      </c>
      <c r="M163" s="14" t="s">
        <v>859</v>
      </c>
      <c r="N163" s="14" t="s">
        <v>860</v>
      </c>
      <c r="O163" s="14" t="s">
        <v>64</v>
      </c>
      <c r="P163" s="14" t="s">
        <v>861</v>
      </c>
      <c r="Q163" s="16">
        <v>46161.0</v>
      </c>
    </row>
    <row r="164">
      <c r="A164" s="13">
        <v>163.0</v>
      </c>
      <c r="B164" s="14" t="s">
        <v>690</v>
      </c>
      <c r="C164" s="14" t="s">
        <v>691</v>
      </c>
      <c r="D164" s="14" t="s">
        <v>692</v>
      </c>
      <c r="E164" s="14" t="s">
        <v>693</v>
      </c>
      <c r="F164" s="14" t="s">
        <v>70</v>
      </c>
      <c r="G164" s="14" t="s">
        <v>109</v>
      </c>
      <c r="H164" s="13">
        <v>2.0</v>
      </c>
      <c r="I164" s="14" t="s">
        <v>61</v>
      </c>
      <c r="J164" s="15" t="s">
        <v>821</v>
      </c>
      <c r="K164" s="14" t="str">
        <f t="shared" si="1"/>
        <v>04</v>
      </c>
      <c r="L164" s="14" t="s">
        <v>822</v>
      </c>
      <c r="M164" s="14" t="s">
        <v>862</v>
      </c>
      <c r="N164" s="14" t="s">
        <v>863</v>
      </c>
      <c r="O164" s="16">
        <v>46290.0</v>
      </c>
      <c r="P164" s="14" t="s">
        <v>864</v>
      </c>
      <c r="Q164" s="16">
        <v>46238.0</v>
      </c>
    </row>
    <row r="165">
      <c r="A165" s="13">
        <v>164.0</v>
      </c>
      <c r="B165" s="14" t="s">
        <v>615</v>
      </c>
      <c r="C165" s="14" t="s">
        <v>616</v>
      </c>
      <c r="D165" s="14" t="s">
        <v>617</v>
      </c>
      <c r="E165" s="14" t="s">
        <v>618</v>
      </c>
      <c r="F165" s="14" t="s">
        <v>40</v>
      </c>
      <c r="G165" s="14" t="s">
        <v>109</v>
      </c>
      <c r="H165" s="13">
        <v>2.0</v>
      </c>
      <c r="I165" s="14" t="s">
        <v>42</v>
      </c>
      <c r="J165" s="15" t="s">
        <v>821</v>
      </c>
      <c r="K165" s="14" t="str">
        <f t="shared" si="1"/>
        <v>04</v>
      </c>
      <c r="L165" s="14" t="s">
        <v>822</v>
      </c>
      <c r="M165" s="14" t="s">
        <v>865</v>
      </c>
      <c r="N165" s="14" t="s">
        <v>866</v>
      </c>
      <c r="O165" s="16">
        <v>46234.0</v>
      </c>
      <c r="P165" s="14" t="s">
        <v>867</v>
      </c>
      <c r="Q165" s="16">
        <v>46161.0</v>
      </c>
    </row>
    <row r="166">
      <c r="A166" s="13">
        <v>165.0</v>
      </c>
      <c r="B166" s="14" t="s">
        <v>767</v>
      </c>
      <c r="C166" s="14" t="s">
        <v>768</v>
      </c>
      <c r="D166" s="14" t="s">
        <v>769</v>
      </c>
      <c r="E166" s="14" t="s">
        <v>770</v>
      </c>
      <c r="F166" s="14" t="s">
        <v>178</v>
      </c>
      <c r="G166" s="14" t="s">
        <v>109</v>
      </c>
      <c r="H166" s="13">
        <v>2.0</v>
      </c>
      <c r="I166" s="14" t="s">
        <v>61</v>
      </c>
      <c r="J166" s="15" t="s">
        <v>821</v>
      </c>
      <c r="K166" s="14" t="str">
        <f t="shared" si="1"/>
        <v>04</v>
      </c>
      <c r="L166" s="14" t="s">
        <v>822</v>
      </c>
      <c r="M166" s="14" t="s">
        <v>868</v>
      </c>
      <c r="N166" s="14" t="s">
        <v>869</v>
      </c>
      <c r="O166" s="14" t="s">
        <v>64</v>
      </c>
      <c r="P166" s="14" t="s">
        <v>870</v>
      </c>
      <c r="Q166" s="16">
        <v>46171.0</v>
      </c>
    </row>
    <row r="167">
      <c r="A167" s="13">
        <v>166.0</v>
      </c>
      <c r="B167" s="14" t="s">
        <v>767</v>
      </c>
      <c r="C167" s="14" t="s">
        <v>768</v>
      </c>
      <c r="D167" s="14" t="s">
        <v>769</v>
      </c>
      <c r="E167" s="14" t="s">
        <v>776</v>
      </c>
      <c r="F167" s="14" t="s">
        <v>60</v>
      </c>
      <c r="G167" s="14" t="s">
        <v>109</v>
      </c>
      <c r="H167" s="13">
        <v>2.0</v>
      </c>
      <c r="I167" s="14" t="s">
        <v>61</v>
      </c>
      <c r="J167" s="15" t="s">
        <v>821</v>
      </c>
      <c r="K167" s="14" t="str">
        <f t="shared" si="1"/>
        <v>04</v>
      </c>
      <c r="L167" s="14" t="s">
        <v>822</v>
      </c>
      <c r="M167" s="14" t="s">
        <v>868</v>
      </c>
      <c r="N167" s="14" t="s">
        <v>869</v>
      </c>
      <c r="O167" s="14" t="s">
        <v>64</v>
      </c>
      <c r="P167" s="14" t="s">
        <v>871</v>
      </c>
      <c r="Q167" s="16">
        <v>46171.0</v>
      </c>
    </row>
    <row r="168">
      <c r="A168" s="13">
        <v>167.0</v>
      </c>
      <c r="B168" s="14" t="s">
        <v>358</v>
      </c>
      <c r="C168" s="14" t="s">
        <v>359</v>
      </c>
      <c r="D168" s="14" t="s">
        <v>360</v>
      </c>
      <c r="E168" s="14" t="s">
        <v>361</v>
      </c>
      <c r="F168" s="14" t="s">
        <v>40</v>
      </c>
      <c r="G168" s="14" t="s">
        <v>109</v>
      </c>
      <c r="H168" s="13">
        <v>2.0</v>
      </c>
      <c r="I168" s="14" t="s">
        <v>61</v>
      </c>
      <c r="J168" s="15" t="s">
        <v>821</v>
      </c>
      <c r="K168" s="14" t="str">
        <f t="shared" si="1"/>
        <v>04</v>
      </c>
      <c r="L168" s="14" t="s">
        <v>822</v>
      </c>
      <c r="M168" s="14" t="s">
        <v>872</v>
      </c>
      <c r="N168" s="14" t="s">
        <v>873</v>
      </c>
      <c r="O168" s="14" t="s">
        <v>64</v>
      </c>
      <c r="P168" s="14" t="s">
        <v>874</v>
      </c>
      <c r="Q168" s="16">
        <v>46184.0</v>
      </c>
    </row>
    <row r="169">
      <c r="A169" s="13">
        <v>168.0</v>
      </c>
      <c r="B169" s="14" t="s">
        <v>365</v>
      </c>
      <c r="C169" s="14" t="s">
        <v>366</v>
      </c>
      <c r="D169" s="14" t="s">
        <v>368</v>
      </c>
      <c r="E169" s="14" t="s">
        <v>369</v>
      </c>
      <c r="F169" s="14" t="s">
        <v>40</v>
      </c>
      <c r="G169" s="14" t="s">
        <v>109</v>
      </c>
      <c r="H169" s="13">
        <v>2.0</v>
      </c>
      <c r="I169" s="14" t="s">
        <v>42</v>
      </c>
      <c r="J169" s="15" t="s">
        <v>821</v>
      </c>
      <c r="K169" s="14" t="str">
        <f t="shared" si="1"/>
        <v>04</v>
      </c>
      <c r="L169" s="14" t="s">
        <v>822</v>
      </c>
      <c r="M169" s="14" t="s">
        <v>875</v>
      </c>
      <c r="N169" s="14" t="s">
        <v>876</v>
      </c>
      <c r="O169" s="16">
        <v>46285.0</v>
      </c>
      <c r="Q169" s="16">
        <v>46162.0</v>
      </c>
    </row>
    <row r="170">
      <c r="A170" s="13">
        <v>169.0</v>
      </c>
      <c r="B170" s="14" t="s">
        <v>113</v>
      </c>
      <c r="C170" s="14" t="s">
        <v>114</v>
      </c>
      <c r="D170" s="14" t="s">
        <v>115</v>
      </c>
      <c r="E170" s="14" t="s">
        <v>116</v>
      </c>
      <c r="F170" s="14" t="s">
        <v>40</v>
      </c>
      <c r="G170" s="14" t="s">
        <v>109</v>
      </c>
      <c r="H170" s="13">
        <v>2.0</v>
      </c>
      <c r="I170" s="14" t="s">
        <v>61</v>
      </c>
      <c r="J170" s="15" t="s">
        <v>821</v>
      </c>
      <c r="K170" s="14" t="str">
        <f t="shared" si="1"/>
        <v>04</v>
      </c>
      <c r="L170" s="14" t="s">
        <v>822</v>
      </c>
      <c r="M170" s="14" t="s">
        <v>877</v>
      </c>
      <c r="N170" s="14" t="s">
        <v>878</v>
      </c>
      <c r="O170" s="14" t="s">
        <v>64</v>
      </c>
      <c r="P170" s="14" t="s">
        <v>879</v>
      </c>
      <c r="Q170" s="16">
        <v>46180.0</v>
      </c>
    </row>
    <row r="171">
      <c r="A171" s="13">
        <v>170.0</v>
      </c>
      <c r="B171" s="14" t="s">
        <v>129</v>
      </c>
      <c r="C171" s="14" t="s">
        <v>130</v>
      </c>
      <c r="D171" s="14" t="s">
        <v>131</v>
      </c>
      <c r="E171" s="14" t="s">
        <v>132</v>
      </c>
      <c r="F171" s="14" t="s">
        <v>40</v>
      </c>
      <c r="G171" s="14" t="s">
        <v>124</v>
      </c>
      <c r="H171" s="13">
        <v>2.0</v>
      </c>
      <c r="I171" s="14" t="s">
        <v>61</v>
      </c>
      <c r="J171" s="15" t="s">
        <v>821</v>
      </c>
      <c r="K171" s="14" t="str">
        <f t="shared" si="1"/>
        <v>04</v>
      </c>
      <c r="L171" s="14" t="s">
        <v>822</v>
      </c>
      <c r="M171" s="14" t="s">
        <v>880</v>
      </c>
      <c r="N171" s="14" t="s">
        <v>881</v>
      </c>
      <c r="O171" s="16">
        <v>46285.0</v>
      </c>
      <c r="P171" s="14" t="s">
        <v>882</v>
      </c>
      <c r="Q171" s="16">
        <v>46175.0</v>
      </c>
    </row>
    <row r="172">
      <c r="A172" s="13">
        <v>171.0</v>
      </c>
      <c r="B172" s="14" t="s">
        <v>883</v>
      </c>
      <c r="C172" s="14" t="s">
        <v>884</v>
      </c>
      <c r="D172" s="14" t="s">
        <v>885</v>
      </c>
      <c r="E172" s="14" t="s">
        <v>886</v>
      </c>
      <c r="F172" s="14" t="s">
        <v>40</v>
      </c>
      <c r="G172" s="14" t="s">
        <v>124</v>
      </c>
      <c r="H172" s="13">
        <v>2.0</v>
      </c>
      <c r="I172" s="14" t="s">
        <v>61</v>
      </c>
      <c r="J172" s="15" t="s">
        <v>821</v>
      </c>
      <c r="K172" s="14" t="str">
        <f t="shared" si="1"/>
        <v>04</v>
      </c>
      <c r="L172" s="14" t="s">
        <v>822</v>
      </c>
      <c r="M172" s="14" t="s">
        <v>887</v>
      </c>
      <c r="N172" s="14" t="s">
        <v>888</v>
      </c>
      <c r="O172" s="14" t="s">
        <v>64</v>
      </c>
      <c r="P172" s="14" t="s">
        <v>889</v>
      </c>
      <c r="Q172" s="16">
        <v>46176.0</v>
      </c>
    </row>
    <row r="173">
      <c r="A173" s="13">
        <v>172.0</v>
      </c>
      <c r="B173" s="14" t="s">
        <v>659</v>
      </c>
      <c r="C173" s="14" t="s">
        <v>660</v>
      </c>
      <c r="D173" s="14" t="s">
        <v>661</v>
      </c>
      <c r="E173" s="14" t="s">
        <v>662</v>
      </c>
      <c r="F173" s="14" t="s">
        <v>40</v>
      </c>
      <c r="G173" s="14" t="s">
        <v>146</v>
      </c>
      <c r="H173" s="13">
        <v>2.0</v>
      </c>
      <c r="I173" s="14" t="s">
        <v>61</v>
      </c>
      <c r="J173" s="15" t="s">
        <v>821</v>
      </c>
      <c r="K173" s="14" t="str">
        <f t="shared" si="1"/>
        <v>04</v>
      </c>
      <c r="L173" s="14" t="s">
        <v>822</v>
      </c>
      <c r="M173" s="14" t="s">
        <v>890</v>
      </c>
      <c r="N173" s="14" t="s">
        <v>891</v>
      </c>
      <c r="O173" s="14" t="s">
        <v>64</v>
      </c>
      <c r="P173" s="14" t="s">
        <v>892</v>
      </c>
      <c r="Q173" s="16">
        <v>46266.0</v>
      </c>
    </row>
    <row r="174">
      <c r="A174" s="13">
        <v>173.0</v>
      </c>
      <c r="B174" s="14" t="s">
        <v>893</v>
      </c>
      <c r="C174" s="14" t="s">
        <v>894</v>
      </c>
      <c r="D174" s="14" t="s">
        <v>895</v>
      </c>
      <c r="E174" s="14" t="s">
        <v>896</v>
      </c>
      <c r="F174" s="14" t="s">
        <v>551</v>
      </c>
      <c r="G174" s="14" t="s">
        <v>146</v>
      </c>
      <c r="H174" s="13">
        <v>2.0</v>
      </c>
      <c r="I174" s="14" t="s">
        <v>61</v>
      </c>
      <c r="J174" s="15" t="s">
        <v>821</v>
      </c>
      <c r="K174" s="14" t="str">
        <f t="shared" si="1"/>
        <v>04</v>
      </c>
      <c r="L174" s="14" t="s">
        <v>822</v>
      </c>
      <c r="M174" s="14" t="s">
        <v>897</v>
      </c>
      <c r="N174" s="14" t="s">
        <v>898</v>
      </c>
      <c r="O174" s="14" t="s">
        <v>64</v>
      </c>
      <c r="P174" s="14" t="s">
        <v>899</v>
      </c>
      <c r="Q174" s="16">
        <v>46202.0</v>
      </c>
    </row>
    <row r="175">
      <c r="A175" s="13">
        <v>174.0</v>
      </c>
      <c r="B175" s="14" t="s">
        <v>900</v>
      </c>
      <c r="C175" s="14" t="s">
        <v>901</v>
      </c>
      <c r="D175" s="14" t="s">
        <v>902</v>
      </c>
      <c r="E175" s="14" t="s">
        <v>903</v>
      </c>
      <c r="F175" s="14" t="s">
        <v>40</v>
      </c>
      <c r="G175" s="14" t="s">
        <v>146</v>
      </c>
      <c r="H175" s="13">
        <v>2.0</v>
      </c>
      <c r="I175" s="14" t="s">
        <v>42</v>
      </c>
      <c r="J175" s="15" t="s">
        <v>821</v>
      </c>
      <c r="K175" s="14" t="str">
        <f t="shared" si="1"/>
        <v>04</v>
      </c>
      <c r="L175" s="14" t="s">
        <v>822</v>
      </c>
      <c r="M175" s="14" t="s">
        <v>904</v>
      </c>
      <c r="N175" s="14" t="s">
        <v>905</v>
      </c>
      <c r="O175" s="16">
        <v>46305.0</v>
      </c>
      <c r="P175" s="14" t="s">
        <v>906</v>
      </c>
      <c r="Q175" s="16">
        <v>46273.0</v>
      </c>
    </row>
    <row r="176">
      <c r="A176" s="13">
        <v>175.0</v>
      </c>
      <c r="B176" s="14" t="s">
        <v>907</v>
      </c>
      <c r="C176" s="14" t="s">
        <v>908</v>
      </c>
      <c r="D176" s="14" t="s">
        <v>909</v>
      </c>
      <c r="E176" s="14" t="s">
        <v>910</v>
      </c>
      <c r="F176" s="14" t="s">
        <v>40</v>
      </c>
      <c r="G176" s="14" t="s">
        <v>146</v>
      </c>
      <c r="H176" s="13">
        <v>2.0</v>
      </c>
      <c r="I176" s="14" t="s">
        <v>61</v>
      </c>
      <c r="J176" s="15" t="s">
        <v>821</v>
      </c>
      <c r="K176" s="14" t="str">
        <f t="shared" si="1"/>
        <v>04</v>
      </c>
      <c r="L176" s="14" t="s">
        <v>822</v>
      </c>
      <c r="M176" s="14" t="s">
        <v>911</v>
      </c>
      <c r="N176" s="14" t="s">
        <v>912</v>
      </c>
      <c r="O176" s="16">
        <v>46304.0</v>
      </c>
      <c r="P176" s="14" t="s">
        <v>913</v>
      </c>
      <c r="Q176" s="16">
        <v>46266.0</v>
      </c>
    </row>
    <row r="177">
      <c r="A177" s="13">
        <v>176.0</v>
      </c>
      <c r="B177" s="14" t="s">
        <v>547</v>
      </c>
      <c r="C177" s="14" t="s">
        <v>548</v>
      </c>
      <c r="D177" s="14" t="s">
        <v>549</v>
      </c>
      <c r="E177" s="14" t="s">
        <v>550</v>
      </c>
      <c r="F177" s="14" t="s">
        <v>551</v>
      </c>
      <c r="G177" s="14" t="s">
        <v>146</v>
      </c>
      <c r="H177" s="13">
        <v>2.0</v>
      </c>
      <c r="I177" s="14" t="s">
        <v>61</v>
      </c>
      <c r="J177" s="15" t="s">
        <v>821</v>
      </c>
      <c r="K177" s="14" t="str">
        <f t="shared" si="1"/>
        <v>04</v>
      </c>
      <c r="L177" s="14" t="s">
        <v>822</v>
      </c>
      <c r="M177" s="14" t="s">
        <v>914</v>
      </c>
      <c r="N177" s="14" t="s">
        <v>915</v>
      </c>
      <c r="O177" s="14" t="s">
        <v>64</v>
      </c>
      <c r="P177" s="14" t="s">
        <v>916</v>
      </c>
      <c r="Q177" s="16">
        <v>46225.0</v>
      </c>
    </row>
    <row r="178">
      <c r="A178" s="13">
        <v>177.0</v>
      </c>
      <c r="B178" s="14" t="s">
        <v>379</v>
      </c>
      <c r="C178" s="14" t="s">
        <v>380</v>
      </c>
      <c r="D178" s="14" t="s">
        <v>381</v>
      </c>
      <c r="E178" s="14" t="s">
        <v>382</v>
      </c>
      <c r="F178" s="14" t="s">
        <v>60</v>
      </c>
      <c r="G178" s="14" t="s">
        <v>146</v>
      </c>
      <c r="H178" s="13">
        <v>2.0</v>
      </c>
      <c r="I178" s="14" t="s">
        <v>42</v>
      </c>
      <c r="J178" s="15" t="s">
        <v>821</v>
      </c>
      <c r="K178" s="14" t="str">
        <f t="shared" si="1"/>
        <v>04</v>
      </c>
      <c r="L178" s="14" t="s">
        <v>822</v>
      </c>
      <c r="M178" s="14" t="s">
        <v>917</v>
      </c>
      <c r="N178" s="14" t="s">
        <v>918</v>
      </c>
      <c r="O178" s="16">
        <v>46310.0</v>
      </c>
      <c r="Q178" s="16">
        <v>46205.0</v>
      </c>
    </row>
    <row r="179">
      <c r="A179" s="13">
        <v>178.0</v>
      </c>
      <c r="B179" s="14" t="s">
        <v>392</v>
      </c>
      <c r="C179" s="14" t="s">
        <v>393</v>
      </c>
      <c r="D179" s="14" t="s">
        <v>394</v>
      </c>
      <c r="E179" s="14" t="s">
        <v>395</v>
      </c>
      <c r="F179" s="14" t="s">
        <v>40</v>
      </c>
      <c r="G179" s="14" t="s">
        <v>191</v>
      </c>
      <c r="H179" s="13">
        <v>2.0</v>
      </c>
      <c r="I179" s="14" t="s">
        <v>42</v>
      </c>
      <c r="J179" s="15" t="s">
        <v>821</v>
      </c>
      <c r="K179" s="14" t="str">
        <f t="shared" si="1"/>
        <v>04</v>
      </c>
      <c r="L179" s="14" t="s">
        <v>822</v>
      </c>
      <c r="M179" s="14" t="s">
        <v>919</v>
      </c>
      <c r="N179" s="14" t="s">
        <v>920</v>
      </c>
      <c r="O179" s="16">
        <v>46299.0</v>
      </c>
      <c r="Q179" s="16">
        <v>46287.0</v>
      </c>
    </row>
    <row r="180">
      <c r="A180" s="13">
        <v>179.0</v>
      </c>
      <c r="B180" s="14" t="s">
        <v>187</v>
      </c>
      <c r="C180" s="14" t="s">
        <v>188</v>
      </c>
      <c r="D180" s="14" t="s">
        <v>189</v>
      </c>
      <c r="E180" s="14" t="s">
        <v>190</v>
      </c>
      <c r="F180" s="14" t="s">
        <v>40</v>
      </c>
      <c r="G180" s="14" t="s">
        <v>191</v>
      </c>
      <c r="H180" s="13">
        <v>2.0</v>
      </c>
      <c r="I180" s="14" t="s">
        <v>61</v>
      </c>
      <c r="J180" s="15" t="s">
        <v>821</v>
      </c>
      <c r="K180" s="14" t="str">
        <f t="shared" si="1"/>
        <v>04</v>
      </c>
      <c r="L180" s="14" t="s">
        <v>822</v>
      </c>
      <c r="M180" s="14" t="s">
        <v>921</v>
      </c>
      <c r="N180" s="14" t="s">
        <v>922</v>
      </c>
      <c r="O180" s="14" t="s">
        <v>64</v>
      </c>
      <c r="P180" s="14" t="s">
        <v>923</v>
      </c>
      <c r="Q180" s="16">
        <v>46248.0</v>
      </c>
    </row>
    <row r="181">
      <c r="A181" s="13">
        <v>180.0</v>
      </c>
      <c r="B181" s="14" t="s">
        <v>786</v>
      </c>
      <c r="C181" s="14" t="s">
        <v>787</v>
      </c>
      <c r="D181" s="14" t="s">
        <v>788</v>
      </c>
      <c r="E181" s="14" t="s">
        <v>789</v>
      </c>
      <c r="F181" s="14" t="s">
        <v>207</v>
      </c>
      <c r="G181" s="14" t="s">
        <v>191</v>
      </c>
      <c r="H181" s="13">
        <v>2.0</v>
      </c>
      <c r="I181" s="14" t="s">
        <v>42</v>
      </c>
      <c r="J181" s="15" t="s">
        <v>821</v>
      </c>
      <c r="K181" s="14" t="str">
        <f t="shared" si="1"/>
        <v>04</v>
      </c>
      <c r="L181" s="14" t="s">
        <v>822</v>
      </c>
      <c r="M181" s="14" t="s">
        <v>924</v>
      </c>
      <c r="N181" s="14" t="s">
        <v>925</v>
      </c>
      <c r="O181" s="16">
        <v>46381.0</v>
      </c>
      <c r="Q181" s="16">
        <v>46217.0</v>
      </c>
    </row>
    <row r="182">
      <c r="A182" s="13">
        <v>181.0</v>
      </c>
      <c r="B182" s="14" t="s">
        <v>567</v>
      </c>
      <c r="C182" s="14" t="s">
        <v>568</v>
      </c>
      <c r="D182" s="14" t="s">
        <v>569</v>
      </c>
      <c r="E182" s="14" t="s">
        <v>570</v>
      </c>
      <c r="F182" s="14" t="s">
        <v>489</v>
      </c>
      <c r="G182" s="14" t="s">
        <v>191</v>
      </c>
      <c r="H182" s="13">
        <v>2.0</v>
      </c>
      <c r="I182" s="14" t="s">
        <v>61</v>
      </c>
      <c r="J182" s="15" t="s">
        <v>821</v>
      </c>
      <c r="K182" s="14" t="str">
        <f t="shared" si="1"/>
        <v>04</v>
      </c>
      <c r="L182" s="14" t="s">
        <v>822</v>
      </c>
      <c r="M182" s="14" t="s">
        <v>926</v>
      </c>
      <c r="N182" s="14" t="s">
        <v>927</v>
      </c>
      <c r="O182" s="14" t="s">
        <v>64</v>
      </c>
      <c r="P182" s="14" t="s">
        <v>928</v>
      </c>
      <c r="Q182" s="16">
        <v>46247.0</v>
      </c>
    </row>
    <row r="183">
      <c r="A183" s="13">
        <v>182.0</v>
      </c>
      <c r="B183" s="14" t="s">
        <v>929</v>
      </c>
      <c r="C183" s="14" t="s">
        <v>930</v>
      </c>
      <c r="D183" s="14" t="s">
        <v>931</v>
      </c>
      <c r="E183" s="14" t="s">
        <v>932</v>
      </c>
      <c r="F183" s="14" t="s">
        <v>40</v>
      </c>
      <c r="G183" s="14" t="s">
        <v>222</v>
      </c>
      <c r="H183" s="13">
        <v>2.0</v>
      </c>
      <c r="I183" s="14" t="s">
        <v>61</v>
      </c>
      <c r="J183" s="15" t="s">
        <v>821</v>
      </c>
      <c r="K183" s="14" t="str">
        <f t="shared" si="1"/>
        <v>04</v>
      </c>
      <c r="L183" s="14" t="s">
        <v>822</v>
      </c>
      <c r="M183" s="14" t="s">
        <v>933</v>
      </c>
      <c r="N183" s="14" t="s">
        <v>934</v>
      </c>
      <c r="O183" s="14" t="s">
        <v>64</v>
      </c>
      <c r="P183" s="14" t="s">
        <v>935</v>
      </c>
      <c r="Q183" s="16">
        <v>46234.0</v>
      </c>
    </row>
    <row r="184">
      <c r="A184" s="13">
        <v>183.0</v>
      </c>
      <c r="B184" s="14" t="s">
        <v>233</v>
      </c>
      <c r="C184" s="14" t="s">
        <v>234</v>
      </c>
      <c r="D184" s="14" t="s">
        <v>235</v>
      </c>
      <c r="E184" s="14" t="s">
        <v>236</v>
      </c>
      <c r="F184" s="14" t="s">
        <v>40</v>
      </c>
      <c r="G184" s="14" t="s">
        <v>222</v>
      </c>
      <c r="H184" s="13">
        <v>2.0</v>
      </c>
      <c r="I184" s="14" t="s">
        <v>61</v>
      </c>
      <c r="J184" s="15" t="s">
        <v>821</v>
      </c>
      <c r="K184" s="14" t="str">
        <f t="shared" si="1"/>
        <v>04</v>
      </c>
      <c r="L184" s="14" t="s">
        <v>822</v>
      </c>
      <c r="M184" s="14" t="s">
        <v>936</v>
      </c>
      <c r="N184" s="14" t="s">
        <v>937</v>
      </c>
      <c r="O184" s="16">
        <v>46291.0</v>
      </c>
      <c r="P184" s="14" t="s">
        <v>938</v>
      </c>
      <c r="Q184" s="16">
        <v>46230.0</v>
      </c>
    </row>
    <row r="185">
      <c r="A185" s="13">
        <v>184.0</v>
      </c>
      <c r="B185" s="14" t="s">
        <v>452</v>
      </c>
      <c r="C185" s="14" t="s">
        <v>453</v>
      </c>
      <c r="D185" s="14" t="s">
        <v>454</v>
      </c>
      <c r="E185" s="14" t="s">
        <v>455</v>
      </c>
      <c r="F185" s="14" t="s">
        <v>40</v>
      </c>
      <c r="G185" s="14" t="s">
        <v>222</v>
      </c>
      <c r="H185" s="13">
        <v>2.0</v>
      </c>
      <c r="I185" s="14" t="s">
        <v>61</v>
      </c>
      <c r="J185" s="15" t="s">
        <v>821</v>
      </c>
      <c r="K185" s="14" t="str">
        <f t="shared" si="1"/>
        <v>04</v>
      </c>
      <c r="L185" s="14" t="s">
        <v>822</v>
      </c>
      <c r="M185" s="14" t="s">
        <v>939</v>
      </c>
      <c r="N185" s="14" t="s">
        <v>940</v>
      </c>
      <c r="O185" s="14" t="s">
        <v>64</v>
      </c>
      <c r="P185" s="14" t="s">
        <v>941</v>
      </c>
      <c r="Q185" s="16">
        <v>46275.0</v>
      </c>
    </row>
    <row r="186">
      <c r="A186" s="13">
        <v>185.0</v>
      </c>
      <c r="B186" s="14" t="s">
        <v>398</v>
      </c>
      <c r="C186" s="14" t="s">
        <v>399</v>
      </c>
      <c r="D186" s="14" t="s">
        <v>400</v>
      </c>
      <c r="E186" s="14" t="s">
        <v>401</v>
      </c>
      <c r="F186" s="14" t="s">
        <v>40</v>
      </c>
      <c r="G186" s="14" t="s">
        <v>222</v>
      </c>
      <c r="H186" s="13">
        <v>2.0</v>
      </c>
      <c r="I186" s="14" t="s">
        <v>61</v>
      </c>
      <c r="J186" s="15" t="s">
        <v>821</v>
      </c>
      <c r="K186" s="14" t="str">
        <f t="shared" si="1"/>
        <v>04</v>
      </c>
      <c r="L186" s="14" t="s">
        <v>822</v>
      </c>
      <c r="M186" s="14" t="s">
        <v>942</v>
      </c>
      <c r="N186" s="14" t="s">
        <v>943</v>
      </c>
      <c r="O186" s="16">
        <v>46291.0</v>
      </c>
      <c r="P186" s="14" t="s">
        <v>944</v>
      </c>
      <c r="Q186" s="16">
        <v>46230.0</v>
      </c>
    </row>
    <row r="187">
      <c r="A187" s="13">
        <v>186.0</v>
      </c>
      <c r="B187" s="14" t="s">
        <v>398</v>
      </c>
      <c r="C187" s="14" t="s">
        <v>399</v>
      </c>
      <c r="D187" s="14" t="s">
        <v>400</v>
      </c>
      <c r="E187" s="14" t="s">
        <v>945</v>
      </c>
      <c r="F187" s="14" t="s">
        <v>489</v>
      </c>
      <c r="G187" s="14" t="s">
        <v>222</v>
      </c>
      <c r="H187" s="13">
        <v>2.0</v>
      </c>
      <c r="I187" s="14" t="s">
        <v>42</v>
      </c>
      <c r="J187" s="15" t="s">
        <v>821</v>
      </c>
      <c r="K187" s="14" t="str">
        <f t="shared" si="1"/>
        <v>04</v>
      </c>
      <c r="L187" s="14" t="s">
        <v>822</v>
      </c>
      <c r="M187" s="14" t="s">
        <v>946</v>
      </c>
      <c r="N187" s="14" t="s">
        <v>947</v>
      </c>
      <c r="O187" s="16">
        <v>46291.0</v>
      </c>
      <c r="Q187" s="16">
        <v>46230.0</v>
      </c>
    </row>
    <row r="188">
      <c r="A188" s="13">
        <v>187.0</v>
      </c>
      <c r="B188" s="14" t="s">
        <v>638</v>
      </c>
      <c r="C188" s="14" t="s">
        <v>639</v>
      </c>
      <c r="D188" s="14" t="s">
        <v>640</v>
      </c>
      <c r="E188" s="14" t="s">
        <v>641</v>
      </c>
      <c r="F188" s="14" t="s">
        <v>40</v>
      </c>
      <c r="G188" s="14" t="s">
        <v>222</v>
      </c>
      <c r="H188" s="13">
        <v>2.0</v>
      </c>
      <c r="I188" s="14" t="s">
        <v>61</v>
      </c>
      <c r="J188" s="15" t="s">
        <v>821</v>
      </c>
      <c r="K188" s="14" t="str">
        <f t="shared" si="1"/>
        <v>04</v>
      </c>
      <c r="L188" s="14" t="s">
        <v>822</v>
      </c>
      <c r="M188" s="14" t="s">
        <v>948</v>
      </c>
      <c r="N188" s="14" t="s">
        <v>949</v>
      </c>
      <c r="O188" s="14" t="s">
        <v>64</v>
      </c>
      <c r="P188" s="14" t="s">
        <v>950</v>
      </c>
      <c r="Q188" s="16">
        <v>46230.0</v>
      </c>
    </row>
    <row r="189">
      <c r="A189" s="13">
        <v>188.0</v>
      </c>
      <c r="B189" s="14" t="s">
        <v>951</v>
      </c>
      <c r="C189" s="14" t="s">
        <v>952</v>
      </c>
      <c r="D189" s="14" t="s">
        <v>953</v>
      </c>
      <c r="E189" s="14" t="s">
        <v>954</v>
      </c>
      <c r="F189" s="14" t="s">
        <v>40</v>
      </c>
      <c r="G189" s="14" t="s">
        <v>261</v>
      </c>
      <c r="H189" s="13">
        <v>2.0</v>
      </c>
      <c r="I189" s="14" t="s">
        <v>42</v>
      </c>
      <c r="J189" s="15" t="s">
        <v>821</v>
      </c>
      <c r="K189" s="14" t="str">
        <f t="shared" si="1"/>
        <v>04</v>
      </c>
      <c r="L189" s="14" t="s">
        <v>822</v>
      </c>
      <c r="M189" s="14" t="s">
        <v>955</v>
      </c>
      <c r="N189" s="14" t="s">
        <v>956</v>
      </c>
      <c r="O189" s="16">
        <v>46315.0</v>
      </c>
      <c r="P189" s="14" t="s">
        <v>957</v>
      </c>
      <c r="Q189" s="16">
        <v>46291.0</v>
      </c>
    </row>
    <row r="190">
      <c r="A190" s="13">
        <v>189.0</v>
      </c>
      <c r="B190" s="14" t="s">
        <v>958</v>
      </c>
      <c r="C190" s="14" t="s">
        <v>959</v>
      </c>
      <c r="D190" s="14" t="s">
        <v>960</v>
      </c>
      <c r="E190" s="14" t="s">
        <v>961</v>
      </c>
      <c r="F190" s="14" t="s">
        <v>60</v>
      </c>
      <c r="G190" s="14" t="s">
        <v>261</v>
      </c>
      <c r="H190" s="13">
        <v>2.0</v>
      </c>
      <c r="I190" s="14" t="s">
        <v>42</v>
      </c>
      <c r="J190" s="15" t="s">
        <v>821</v>
      </c>
      <c r="K190" s="14" t="str">
        <f t="shared" si="1"/>
        <v>04</v>
      </c>
      <c r="L190" s="14" t="s">
        <v>822</v>
      </c>
      <c r="M190" s="14" t="s">
        <v>962</v>
      </c>
      <c r="N190" s="14" t="s">
        <v>963</v>
      </c>
      <c r="O190" s="16">
        <v>46317.0</v>
      </c>
      <c r="Q190" s="16">
        <v>46232.0</v>
      </c>
    </row>
    <row r="191">
      <c r="A191" s="13">
        <v>190.0</v>
      </c>
      <c r="B191" s="14" t="s">
        <v>964</v>
      </c>
      <c r="C191" s="14" t="s">
        <v>965</v>
      </c>
      <c r="D191" s="14" t="s">
        <v>966</v>
      </c>
      <c r="E191" s="14" t="s">
        <v>967</v>
      </c>
      <c r="F191" s="14" t="s">
        <v>40</v>
      </c>
      <c r="G191" s="14" t="s">
        <v>261</v>
      </c>
      <c r="H191" s="13">
        <v>2.0</v>
      </c>
      <c r="I191" s="14" t="s">
        <v>61</v>
      </c>
      <c r="J191" s="15" t="s">
        <v>821</v>
      </c>
      <c r="K191" s="14" t="str">
        <f t="shared" si="1"/>
        <v>04</v>
      </c>
      <c r="L191" s="14" t="s">
        <v>822</v>
      </c>
      <c r="M191" s="14" t="s">
        <v>968</v>
      </c>
      <c r="N191" s="14" t="s">
        <v>969</v>
      </c>
      <c r="O191" s="14" t="s">
        <v>64</v>
      </c>
      <c r="P191" s="14" t="s">
        <v>970</v>
      </c>
      <c r="Q191" s="16">
        <v>46286.0</v>
      </c>
    </row>
    <row r="192">
      <c r="A192" s="13">
        <v>191.0</v>
      </c>
      <c r="B192" s="14" t="s">
        <v>286</v>
      </c>
      <c r="C192" s="14" t="s">
        <v>287</v>
      </c>
      <c r="D192" s="14" t="s">
        <v>288</v>
      </c>
      <c r="E192" s="14" t="s">
        <v>289</v>
      </c>
      <c r="F192" s="14" t="s">
        <v>162</v>
      </c>
      <c r="G192" s="14" t="s">
        <v>261</v>
      </c>
      <c r="H192" s="13">
        <v>2.0</v>
      </c>
      <c r="I192" s="14" t="s">
        <v>61</v>
      </c>
      <c r="J192" s="15" t="s">
        <v>821</v>
      </c>
      <c r="K192" s="14" t="str">
        <f t="shared" si="1"/>
        <v>04</v>
      </c>
      <c r="L192" s="14" t="s">
        <v>822</v>
      </c>
      <c r="M192" s="14" t="s">
        <v>971</v>
      </c>
      <c r="N192" s="14" t="s">
        <v>972</v>
      </c>
      <c r="O192" s="14" t="s">
        <v>64</v>
      </c>
      <c r="P192" s="14" t="s">
        <v>973</v>
      </c>
      <c r="Q192" s="16">
        <v>46233.0</v>
      </c>
    </row>
    <row r="193">
      <c r="A193" s="13">
        <v>192.0</v>
      </c>
      <c r="B193" s="14" t="s">
        <v>974</v>
      </c>
      <c r="C193" s="14" t="s">
        <v>975</v>
      </c>
      <c r="D193" s="14" t="s">
        <v>976</v>
      </c>
      <c r="E193" s="14" t="s">
        <v>977</v>
      </c>
      <c r="F193" s="14" t="s">
        <v>207</v>
      </c>
      <c r="G193" s="14" t="s">
        <v>297</v>
      </c>
      <c r="H193" s="13">
        <v>2.0</v>
      </c>
      <c r="I193" s="14" t="s">
        <v>61</v>
      </c>
      <c r="J193" s="15" t="s">
        <v>821</v>
      </c>
      <c r="K193" s="14" t="str">
        <f t="shared" si="1"/>
        <v>04</v>
      </c>
      <c r="L193" s="14" t="s">
        <v>822</v>
      </c>
      <c r="M193" s="14" t="s">
        <v>978</v>
      </c>
      <c r="N193" s="14" t="s">
        <v>979</v>
      </c>
      <c r="O193" s="14" t="s">
        <v>64</v>
      </c>
      <c r="P193" s="14" t="s">
        <v>980</v>
      </c>
      <c r="Q193" s="16">
        <v>46254.0</v>
      </c>
    </row>
    <row r="194">
      <c r="A194" s="13">
        <v>193.0</v>
      </c>
      <c r="B194" s="14" t="s">
        <v>302</v>
      </c>
      <c r="C194" s="14" t="s">
        <v>303</v>
      </c>
      <c r="D194" s="14" t="s">
        <v>304</v>
      </c>
      <c r="E194" s="14" t="s">
        <v>305</v>
      </c>
      <c r="F194" s="14" t="s">
        <v>162</v>
      </c>
      <c r="G194" s="14" t="s">
        <v>261</v>
      </c>
      <c r="H194" s="13">
        <v>2.0</v>
      </c>
      <c r="I194" s="14" t="s">
        <v>42</v>
      </c>
      <c r="J194" s="15" t="s">
        <v>821</v>
      </c>
      <c r="K194" s="14" t="str">
        <f t="shared" si="1"/>
        <v>04</v>
      </c>
      <c r="L194" s="14" t="s">
        <v>822</v>
      </c>
      <c r="M194" s="14" t="s">
        <v>981</v>
      </c>
      <c r="N194" s="14" t="s">
        <v>982</v>
      </c>
      <c r="O194" s="14" t="s">
        <v>64</v>
      </c>
      <c r="P194" s="14" t="s">
        <v>983</v>
      </c>
      <c r="Q194" s="16">
        <v>46271.0</v>
      </c>
    </row>
    <row r="195">
      <c r="A195" s="13">
        <v>194.0</v>
      </c>
      <c r="B195" s="14" t="s">
        <v>310</v>
      </c>
      <c r="C195" s="14" t="s">
        <v>311</v>
      </c>
      <c r="D195" s="14" t="s">
        <v>313</v>
      </c>
      <c r="E195" s="14" t="s">
        <v>314</v>
      </c>
      <c r="F195" s="14" t="s">
        <v>162</v>
      </c>
      <c r="G195" s="14" t="s">
        <v>261</v>
      </c>
      <c r="H195" s="13">
        <v>2.0</v>
      </c>
      <c r="I195" s="14" t="s">
        <v>61</v>
      </c>
      <c r="J195" s="15" t="s">
        <v>821</v>
      </c>
      <c r="K195" s="14" t="str">
        <f t="shared" si="1"/>
        <v>04</v>
      </c>
      <c r="L195" s="14" t="s">
        <v>822</v>
      </c>
      <c r="M195" s="14" t="s">
        <v>984</v>
      </c>
      <c r="N195" s="14" t="s">
        <v>985</v>
      </c>
      <c r="O195" s="14" t="s">
        <v>64</v>
      </c>
      <c r="P195" s="14" t="s">
        <v>986</v>
      </c>
      <c r="Q195" s="16">
        <v>46252.0</v>
      </c>
    </row>
    <row r="196">
      <c r="A196" s="13">
        <v>195.0</v>
      </c>
      <c r="B196" s="14" t="s">
        <v>470</v>
      </c>
      <c r="C196" s="14" t="s">
        <v>471</v>
      </c>
      <c r="D196" s="14" t="s">
        <v>472</v>
      </c>
      <c r="E196" s="14" t="s">
        <v>473</v>
      </c>
      <c r="F196" s="14" t="s">
        <v>60</v>
      </c>
      <c r="G196" s="14" t="s">
        <v>261</v>
      </c>
      <c r="H196" s="13">
        <v>2.0</v>
      </c>
      <c r="I196" s="14" t="s">
        <v>61</v>
      </c>
      <c r="J196" s="15" t="s">
        <v>821</v>
      </c>
      <c r="K196" s="14" t="str">
        <f t="shared" si="1"/>
        <v>04</v>
      </c>
      <c r="L196" s="14" t="s">
        <v>822</v>
      </c>
      <c r="M196" s="14" t="s">
        <v>987</v>
      </c>
      <c r="N196" s="14" t="s">
        <v>988</v>
      </c>
      <c r="O196" s="16">
        <v>46275.0</v>
      </c>
      <c r="P196" s="14" t="s">
        <v>989</v>
      </c>
      <c r="Q196" s="16">
        <v>46241.0</v>
      </c>
    </row>
    <row r="197">
      <c r="A197" s="13">
        <v>196.0</v>
      </c>
      <c r="B197" s="14" t="s">
        <v>504</v>
      </c>
      <c r="C197" s="14" t="s">
        <v>505</v>
      </c>
      <c r="D197" s="14" t="s">
        <v>506</v>
      </c>
      <c r="E197" s="14" t="s">
        <v>507</v>
      </c>
      <c r="F197" s="14" t="s">
        <v>70</v>
      </c>
      <c r="G197" s="14" t="s">
        <v>329</v>
      </c>
      <c r="H197" s="13">
        <v>2.0</v>
      </c>
      <c r="I197" s="14" t="s">
        <v>61</v>
      </c>
      <c r="J197" s="15" t="s">
        <v>821</v>
      </c>
      <c r="K197" s="14" t="str">
        <f t="shared" si="1"/>
        <v>04</v>
      </c>
      <c r="L197" s="14" t="s">
        <v>822</v>
      </c>
      <c r="M197" s="14" t="s">
        <v>990</v>
      </c>
      <c r="N197" s="14" t="s">
        <v>991</v>
      </c>
      <c r="O197" s="16">
        <v>46331.0</v>
      </c>
      <c r="P197" s="14" t="s">
        <v>992</v>
      </c>
      <c r="Q197" s="16">
        <v>46283.0</v>
      </c>
    </row>
    <row r="198">
      <c r="A198" s="13">
        <v>197.0</v>
      </c>
      <c r="B198" s="14" t="s">
        <v>333</v>
      </c>
      <c r="C198" s="14" t="s">
        <v>334</v>
      </c>
      <c r="D198" s="14" t="s">
        <v>335</v>
      </c>
      <c r="E198" s="14" t="s">
        <v>336</v>
      </c>
      <c r="F198" s="14" t="s">
        <v>70</v>
      </c>
      <c r="G198" s="14" t="s">
        <v>329</v>
      </c>
      <c r="H198" s="13">
        <v>2.0</v>
      </c>
      <c r="I198" s="14" t="s">
        <v>61</v>
      </c>
      <c r="J198" s="15" t="s">
        <v>821</v>
      </c>
      <c r="K198" s="14" t="str">
        <f t="shared" si="1"/>
        <v>04</v>
      </c>
      <c r="L198" s="14" t="s">
        <v>822</v>
      </c>
      <c r="M198" s="14" t="s">
        <v>993</v>
      </c>
      <c r="N198" s="14" t="s">
        <v>994</v>
      </c>
      <c r="O198" s="16">
        <v>46353.0</v>
      </c>
      <c r="P198" s="14" t="s">
        <v>995</v>
      </c>
      <c r="Q198" s="16">
        <v>46269.0</v>
      </c>
    </row>
    <row r="199">
      <c r="A199" s="13">
        <v>198.0</v>
      </c>
      <c r="B199" s="14" t="s">
        <v>996</v>
      </c>
      <c r="C199" s="14" t="s">
        <v>997</v>
      </c>
      <c r="D199" s="14" t="s">
        <v>998</v>
      </c>
      <c r="E199" s="14" t="s">
        <v>999</v>
      </c>
      <c r="F199" s="14" t="s">
        <v>162</v>
      </c>
      <c r="G199" s="14" t="s">
        <v>329</v>
      </c>
      <c r="H199" s="13">
        <v>2.0</v>
      </c>
      <c r="I199" s="14" t="s">
        <v>42</v>
      </c>
      <c r="J199" s="15" t="s">
        <v>821</v>
      </c>
      <c r="K199" s="14" t="str">
        <f t="shared" si="1"/>
        <v>04</v>
      </c>
      <c r="L199" s="14" t="s">
        <v>822</v>
      </c>
      <c r="M199" s="14" t="s">
        <v>1000</v>
      </c>
      <c r="N199" s="14" t="s">
        <v>1001</v>
      </c>
      <c r="O199" s="16">
        <v>46292.0</v>
      </c>
      <c r="Q199" s="16">
        <v>46261.0</v>
      </c>
    </row>
    <row r="200">
      <c r="A200" s="13">
        <v>199.0</v>
      </c>
      <c r="B200" s="14" t="s">
        <v>385</v>
      </c>
      <c r="C200" s="14" t="s">
        <v>386</v>
      </c>
      <c r="D200" s="14" t="s">
        <v>387</v>
      </c>
      <c r="E200" s="14" t="s">
        <v>388</v>
      </c>
      <c r="F200" s="14" t="s">
        <v>40</v>
      </c>
      <c r="G200" s="14" t="s">
        <v>191</v>
      </c>
      <c r="H200" s="13">
        <v>2.0</v>
      </c>
      <c r="I200" s="14" t="s">
        <v>42</v>
      </c>
      <c r="J200" s="15" t="s">
        <v>1002</v>
      </c>
      <c r="K200" s="14" t="str">
        <f t="shared" si="1"/>
        <v>05</v>
      </c>
      <c r="L200" s="14" t="s">
        <v>1003</v>
      </c>
      <c r="M200" s="14" t="s">
        <v>1004</v>
      </c>
      <c r="N200" s="14" t="s">
        <v>1005</v>
      </c>
      <c r="O200" s="16">
        <v>46290.0</v>
      </c>
      <c r="Q200" s="16">
        <v>46211.0</v>
      </c>
    </row>
    <row r="201">
      <c r="A201" s="13">
        <v>200.0</v>
      </c>
      <c r="B201" s="14" t="s">
        <v>196</v>
      </c>
      <c r="C201" s="14" t="s">
        <v>197</v>
      </c>
      <c r="D201" s="14" t="s">
        <v>198</v>
      </c>
      <c r="E201" s="14" t="s">
        <v>1006</v>
      </c>
      <c r="F201" s="14" t="s">
        <v>543</v>
      </c>
      <c r="G201" s="14" t="s">
        <v>191</v>
      </c>
      <c r="H201" s="13">
        <v>2.0</v>
      </c>
      <c r="I201" s="14" t="s">
        <v>42</v>
      </c>
      <c r="J201" s="15" t="s">
        <v>1002</v>
      </c>
      <c r="K201" s="14" t="str">
        <f t="shared" si="1"/>
        <v>05</v>
      </c>
      <c r="L201" s="14" t="s">
        <v>1003</v>
      </c>
      <c r="M201" s="14" t="s">
        <v>1007</v>
      </c>
      <c r="N201" s="14" t="s">
        <v>1008</v>
      </c>
      <c r="O201" s="16">
        <v>46294.0</v>
      </c>
      <c r="Q201" s="16">
        <v>46217.0</v>
      </c>
    </row>
    <row r="202">
      <c r="A202" s="13">
        <v>201.0</v>
      </c>
      <c r="B202" s="14" t="s">
        <v>48</v>
      </c>
      <c r="C202" s="14" t="s">
        <v>49</v>
      </c>
      <c r="D202" s="14" t="s">
        <v>50</v>
      </c>
      <c r="E202" s="14" t="s">
        <v>677</v>
      </c>
      <c r="F202" s="14" t="s">
        <v>527</v>
      </c>
      <c r="G202" s="14" t="s">
        <v>41</v>
      </c>
      <c r="H202" s="13">
        <v>2.0</v>
      </c>
      <c r="I202" s="14" t="s">
        <v>42</v>
      </c>
      <c r="J202" s="15" t="s">
        <v>1009</v>
      </c>
      <c r="K202" s="14" t="str">
        <f t="shared" si="1"/>
        <v>05</v>
      </c>
      <c r="L202" s="14" t="s">
        <v>1010</v>
      </c>
      <c r="M202" s="14" t="s">
        <v>1011</v>
      </c>
      <c r="N202" s="14" t="s">
        <v>1012</v>
      </c>
      <c r="O202" s="16">
        <v>46265.0</v>
      </c>
      <c r="Q202" s="16">
        <v>46147.0</v>
      </c>
    </row>
    <row r="203">
      <c r="A203" s="13">
        <v>202.0</v>
      </c>
      <c r="B203" s="14" t="s">
        <v>79</v>
      </c>
      <c r="C203" s="14" t="s">
        <v>80</v>
      </c>
      <c r="D203" s="14" t="s">
        <v>81</v>
      </c>
      <c r="E203" s="14" t="s">
        <v>82</v>
      </c>
      <c r="F203" s="14" t="s">
        <v>40</v>
      </c>
      <c r="G203" s="14" t="s">
        <v>41</v>
      </c>
      <c r="H203" s="13">
        <v>2.0</v>
      </c>
      <c r="I203" s="14" t="s">
        <v>42</v>
      </c>
      <c r="J203" s="15" t="s">
        <v>1009</v>
      </c>
      <c r="K203" s="14" t="str">
        <f t="shared" si="1"/>
        <v>05</v>
      </c>
      <c r="L203" s="14" t="s">
        <v>1010</v>
      </c>
      <c r="M203" s="14" t="s">
        <v>1013</v>
      </c>
      <c r="N203" s="14" t="s">
        <v>1014</v>
      </c>
      <c r="O203" s="16">
        <v>46265.0</v>
      </c>
      <c r="P203" s="14" t="s">
        <v>1015</v>
      </c>
      <c r="Q203" s="16">
        <v>46167.0</v>
      </c>
    </row>
    <row r="204">
      <c r="A204" s="13">
        <v>203.0</v>
      </c>
      <c r="B204" s="14" t="s">
        <v>434</v>
      </c>
      <c r="C204" s="14" t="s">
        <v>435</v>
      </c>
      <c r="D204" s="14" t="s">
        <v>436</v>
      </c>
      <c r="E204" s="14" t="s">
        <v>437</v>
      </c>
      <c r="F204" s="14" t="s">
        <v>40</v>
      </c>
      <c r="G204" s="14" t="s">
        <v>41</v>
      </c>
      <c r="H204" s="13">
        <v>2.0</v>
      </c>
      <c r="I204" s="14" t="s">
        <v>42</v>
      </c>
      <c r="J204" s="15" t="s">
        <v>1009</v>
      </c>
      <c r="K204" s="14" t="str">
        <f t="shared" si="1"/>
        <v>05</v>
      </c>
      <c r="L204" s="14" t="s">
        <v>1010</v>
      </c>
      <c r="M204" s="14" t="s">
        <v>1016</v>
      </c>
      <c r="N204" s="14" t="s">
        <v>1017</v>
      </c>
      <c r="O204" s="14" t="s">
        <v>64</v>
      </c>
      <c r="Q204" s="16">
        <v>46164.0</v>
      </c>
    </row>
    <row r="205">
      <c r="A205" s="13">
        <v>204.0</v>
      </c>
      <c r="B205" s="14" t="s">
        <v>1018</v>
      </c>
      <c r="C205" s="14" t="s">
        <v>1019</v>
      </c>
      <c r="D205" s="14" t="s">
        <v>1020</v>
      </c>
      <c r="E205" s="14" t="s">
        <v>1021</v>
      </c>
      <c r="F205" s="14" t="s">
        <v>60</v>
      </c>
      <c r="G205" s="14" t="s">
        <v>41</v>
      </c>
      <c r="H205" s="13">
        <v>2.0</v>
      </c>
      <c r="I205" s="14" t="s">
        <v>61</v>
      </c>
      <c r="J205" s="15" t="s">
        <v>1009</v>
      </c>
      <c r="K205" s="14" t="str">
        <f t="shared" si="1"/>
        <v>05</v>
      </c>
      <c r="L205" s="14" t="s">
        <v>1010</v>
      </c>
      <c r="M205" s="14" t="s">
        <v>1022</v>
      </c>
      <c r="N205" s="14" t="s">
        <v>1023</v>
      </c>
      <c r="O205" s="14" t="s">
        <v>64</v>
      </c>
      <c r="P205" s="14" t="s">
        <v>1024</v>
      </c>
      <c r="Q205" s="16">
        <v>46191.0</v>
      </c>
    </row>
    <row r="206">
      <c r="A206" s="13">
        <v>205.0</v>
      </c>
      <c r="B206" s="14" t="s">
        <v>690</v>
      </c>
      <c r="C206" s="14" t="s">
        <v>691</v>
      </c>
      <c r="D206" s="14" t="s">
        <v>692</v>
      </c>
      <c r="E206" s="14" t="s">
        <v>693</v>
      </c>
      <c r="F206" s="14" t="s">
        <v>70</v>
      </c>
      <c r="G206" s="14" t="s">
        <v>109</v>
      </c>
      <c r="H206" s="13">
        <v>2.0</v>
      </c>
      <c r="I206" s="14" t="s">
        <v>61</v>
      </c>
      <c r="J206" s="15" t="s">
        <v>1009</v>
      </c>
      <c r="K206" s="14" t="str">
        <f t="shared" si="1"/>
        <v>05</v>
      </c>
      <c r="L206" s="14" t="s">
        <v>1010</v>
      </c>
      <c r="M206" s="14" t="s">
        <v>1025</v>
      </c>
      <c r="N206" s="14" t="s">
        <v>1026</v>
      </c>
      <c r="O206" s="16">
        <v>46290.0</v>
      </c>
      <c r="P206" s="14" t="s">
        <v>1027</v>
      </c>
      <c r="Q206" s="16">
        <v>46238.0</v>
      </c>
    </row>
    <row r="207">
      <c r="A207" s="13">
        <v>206.0</v>
      </c>
      <c r="B207" s="14" t="s">
        <v>351</v>
      </c>
      <c r="C207" s="14" t="s">
        <v>352</v>
      </c>
      <c r="D207" s="14" t="s">
        <v>353</v>
      </c>
      <c r="E207" s="14" t="s">
        <v>354</v>
      </c>
      <c r="F207" s="14" t="s">
        <v>40</v>
      </c>
      <c r="G207" s="14" t="s">
        <v>109</v>
      </c>
      <c r="H207" s="13">
        <v>2.0</v>
      </c>
      <c r="I207" s="14" t="s">
        <v>42</v>
      </c>
      <c r="J207" s="15" t="s">
        <v>1009</v>
      </c>
      <c r="K207" s="14" t="str">
        <f t="shared" si="1"/>
        <v>05</v>
      </c>
      <c r="L207" s="14" t="s">
        <v>1010</v>
      </c>
      <c r="M207" s="14" t="s">
        <v>1028</v>
      </c>
      <c r="N207" s="14" t="s">
        <v>1029</v>
      </c>
      <c r="O207" s="14" t="s">
        <v>64</v>
      </c>
      <c r="Q207" s="16">
        <v>46162.0</v>
      </c>
    </row>
    <row r="208">
      <c r="A208" s="13">
        <v>207.0</v>
      </c>
      <c r="B208" s="14" t="s">
        <v>365</v>
      </c>
      <c r="C208" s="14" t="s">
        <v>366</v>
      </c>
      <c r="D208" s="14" t="s">
        <v>368</v>
      </c>
      <c r="E208" s="14" t="s">
        <v>369</v>
      </c>
      <c r="F208" s="14" t="s">
        <v>40</v>
      </c>
      <c r="G208" s="14" t="s">
        <v>109</v>
      </c>
      <c r="H208" s="13">
        <v>2.0</v>
      </c>
      <c r="I208" s="14" t="s">
        <v>42</v>
      </c>
      <c r="J208" s="15" t="s">
        <v>1009</v>
      </c>
      <c r="K208" s="14" t="str">
        <f t="shared" si="1"/>
        <v>05</v>
      </c>
      <c r="L208" s="14" t="s">
        <v>1010</v>
      </c>
      <c r="M208" s="14" t="s">
        <v>1030</v>
      </c>
      <c r="N208" s="14" t="s">
        <v>1031</v>
      </c>
      <c r="O208" s="16">
        <v>46285.0</v>
      </c>
      <c r="Q208" s="16">
        <v>46162.0</v>
      </c>
    </row>
    <row r="209">
      <c r="A209" s="13">
        <v>208.0</v>
      </c>
      <c r="B209" s="14" t="s">
        <v>907</v>
      </c>
      <c r="C209" s="14" t="s">
        <v>908</v>
      </c>
      <c r="D209" s="14" t="s">
        <v>909</v>
      </c>
      <c r="E209" s="14" t="s">
        <v>910</v>
      </c>
      <c r="F209" s="14" t="s">
        <v>40</v>
      </c>
      <c r="G209" s="14" t="s">
        <v>146</v>
      </c>
      <c r="H209" s="13">
        <v>2.0</v>
      </c>
      <c r="I209" s="14" t="s">
        <v>61</v>
      </c>
      <c r="J209" s="15" t="s">
        <v>1009</v>
      </c>
      <c r="K209" s="14" t="str">
        <f t="shared" si="1"/>
        <v>05</v>
      </c>
      <c r="L209" s="14" t="s">
        <v>1010</v>
      </c>
      <c r="M209" s="14" t="s">
        <v>1032</v>
      </c>
      <c r="N209" s="14" t="s">
        <v>1033</v>
      </c>
      <c r="O209" s="16">
        <v>46304.0</v>
      </c>
      <c r="P209" s="14" t="s">
        <v>1034</v>
      </c>
      <c r="Q209" s="16">
        <v>46266.0</v>
      </c>
    </row>
    <row r="210">
      <c r="A210" s="13">
        <v>209.0</v>
      </c>
      <c r="B210" s="14" t="s">
        <v>398</v>
      </c>
      <c r="C210" s="14" t="s">
        <v>399</v>
      </c>
      <c r="D210" s="14" t="s">
        <v>400</v>
      </c>
      <c r="E210" s="14" t="s">
        <v>401</v>
      </c>
      <c r="F210" s="14" t="s">
        <v>40</v>
      </c>
      <c r="G210" s="14" t="s">
        <v>222</v>
      </c>
      <c r="H210" s="13">
        <v>2.0</v>
      </c>
      <c r="I210" s="14" t="s">
        <v>42</v>
      </c>
      <c r="J210" s="15" t="s">
        <v>1009</v>
      </c>
      <c r="K210" s="14" t="str">
        <f t="shared" si="1"/>
        <v>05</v>
      </c>
      <c r="L210" s="14" t="s">
        <v>1010</v>
      </c>
      <c r="M210" s="14" t="s">
        <v>1035</v>
      </c>
      <c r="N210" s="14" t="s">
        <v>1036</v>
      </c>
      <c r="O210" s="16">
        <v>46291.0</v>
      </c>
      <c r="P210" s="14" t="s">
        <v>1037</v>
      </c>
      <c r="Q210" s="16">
        <v>46230.0</v>
      </c>
    </row>
    <row r="211">
      <c r="A211" s="13">
        <v>210.0</v>
      </c>
      <c r="B211" s="14" t="s">
        <v>398</v>
      </c>
      <c r="C211" s="14" t="s">
        <v>399</v>
      </c>
      <c r="D211" s="14" t="s">
        <v>400</v>
      </c>
      <c r="E211" s="14" t="s">
        <v>945</v>
      </c>
      <c r="F211" s="14" t="s">
        <v>489</v>
      </c>
      <c r="G211" s="14" t="s">
        <v>222</v>
      </c>
      <c r="H211" s="13">
        <v>2.0</v>
      </c>
      <c r="I211" s="14" t="s">
        <v>42</v>
      </c>
      <c r="J211" s="15" t="s">
        <v>1009</v>
      </c>
      <c r="K211" s="14" t="str">
        <f t="shared" si="1"/>
        <v>05</v>
      </c>
      <c r="L211" s="14" t="s">
        <v>1010</v>
      </c>
      <c r="M211" s="14" t="s">
        <v>1038</v>
      </c>
      <c r="N211" s="14" t="s">
        <v>1039</v>
      </c>
      <c r="O211" s="16">
        <v>46291.0</v>
      </c>
      <c r="Q211" s="16">
        <v>46230.0</v>
      </c>
    </row>
    <row r="212">
      <c r="A212" s="13">
        <v>211.0</v>
      </c>
      <c r="B212" s="14" t="s">
        <v>638</v>
      </c>
      <c r="C212" s="14" t="s">
        <v>639</v>
      </c>
      <c r="D212" s="14" t="s">
        <v>640</v>
      </c>
      <c r="E212" s="14" t="s">
        <v>641</v>
      </c>
      <c r="F212" s="14" t="s">
        <v>40</v>
      </c>
      <c r="G212" s="14" t="s">
        <v>222</v>
      </c>
      <c r="H212" s="13">
        <v>2.0</v>
      </c>
      <c r="I212" s="14" t="s">
        <v>61</v>
      </c>
      <c r="J212" s="15" t="s">
        <v>1009</v>
      </c>
      <c r="K212" s="14" t="str">
        <f t="shared" si="1"/>
        <v>05</v>
      </c>
      <c r="L212" s="14" t="s">
        <v>1010</v>
      </c>
      <c r="M212" s="14" t="s">
        <v>1040</v>
      </c>
      <c r="N212" s="14" t="s">
        <v>1041</v>
      </c>
      <c r="O212" s="14" t="s">
        <v>64</v>
      </c>
      <c r="P212" s="14" t="s">
        <v>1042</v>
      </c>
      <c r="Q212" s="16">
        <v>46230.0</v>
      </c>
    </row>
    <row r="213">
      <c r="A213" s="13">
        <v>212.0</v>
      </c>
      <c r="B213" s="14" t="s">
        <v>246</v>
      </c>
      <c r="C213" s="14" t="s">
        <v>247</v>
      </c>
      <c r="D213" s="14" t="s">
        <v>248</v>
      </c>
      <c r="E213" s="14" t="s">
        <v>526</v>
      </c>
      <c r="F213" s="14" t="s">
        <v>527</v>
      </c>
      <c r="G213" s="14" t="s">
        <v>222</v>
      </c>
      <c r="H213" s="13">
        <v>2.0</v>
      </c>
      <c r="I213" s="14" t="s">
        <v>42</v>
      </c>
      <c r="J213" s="15" t="s">
        <v>1009</v>
      </c>
      <c r="K213" s="14" t="str">
        <f t="shared" si="1"/>
        <v>05</v>
      </c>
      <c r="L213" s="14" t="s">
        <v>1010</v>
      </c>
      <c r="M213" s="14" t="s">
        <v>1043</v>
      </c>
      <c r="N213" s="14" t="s">
        <v>1044</v>
      </c>
      <c r="O213" s="16">
        <v>46291.0</v>
      </c>
      <c r="Q213" s="16">
        <v>46230.0</v>
      </c>
    </row>
    <row r="214">
      <c r="A214" s="13">
        <v>213.0</v>
      </c>
      <c r="B214" s="14" t="s">
        <v>246</v>
      </c>
      <c r="C214" s="14" t="s">
        <v>247</v>
      </c>
      <c r="D214" s="14" t="s">
        <v>248</v>
      </c>
      <c r="E214" s="14" t="s">
        <v>253</v>
      </c>
      <c r="F214" s="14" t="s">
        <v>40</v>
      </c>
      <c r="G214" s="14" t="s">
        <v>222</v>
      </c>
      <c r="H214" s="13">
        <v>2.0</v>
      </c>
      <c r="I214" s="14" t="s">
        <v>42</v>
      </c>
      <c r="J214" s="15" t="s">
        <v>1009</v>
      </c>
      <c r="K214" s="14" t="str">
        <f t="shared" si="1"/>
        <v>05</v>
      </c>
      <c r="L214" s="14" t="s">
        <v>1010</v>
      </c>
      <c r="M214" s="14" t="s">
        <v>1045</v>
      </c>
      <c r="N214" s="14" t="s">
        <v>1046</v>
      </c>
      <c r="O214" s="16">
        <v>46290.0</v>
      </c>
      <c r="Q214" s="16">
        <v>46230.0</v>
      </c>
    </row>
    <row r="215">
      <c r="A215" s="13">
        <v>214.0</v>
      </c>
      <c r="B215" s="14" t="s">
        <v>964</v>
      </c>
      <c r="C215" s="14" t="s">
        <v>965</v>
      </c>
      <c r="D215" s="14" t="s">
        <v>966</v>
      </c>
      <c r="E215" s="14" t="s">
        <v>967</v>
      </c>
      <c r="F215" s="14" t="s">
        <v>40</v>
      </c>
      <c r="G215" s="14" t="s">
        <v>261</v>
      </c>
      <c r="H215" s="13">
        <v>2.0</v>
      </c>
      <c r="I215" s="14" t="s">
        <v>61</v>
      </c>
      <c r="J215" s="15" t="s">
        <v>1009</v>
      </c>
      <c r="K215" s="14" t="str">
        <f t="shared" si="1"/>
        <v>05</v>
      </c>
      <c r="L215" s="14" t="s">
        <v>1010</v>
      </c>
      <c r="M215" s="14" t="s">
        <v>1047</v>
      </c>
      <c r="N215" s="14" t="s">
        <v>1048</v>
      </c>
      <c r="O215" s="14" t="s">
        <v>64</v>
      </c>
      <c r="P215" s="14" t="s">
        <v>1049</v>
      </c>
      <c r="Q215" s="16">
        <v>46286.0</v>
      </c>
    </row>
    <row r="216">
      <c r="A216" s="13">
        <v>215.0</v>
      </c>
      <c r="B216" s="14" t="s">
        <v>278</v>
      </c>
      <c r="C216" s="14" t="s">
        <v>279</v>
      </c>
      <c r="D216" s="14" t="s">
        <v>280</v>
      </c>
      <c r="E216" s="14" t="s">
        <v>281</v>
      </c>
      <c r="F216" s="14" t="s">
        <v>40</v>
      </c>
      <c r="G216" s="14" t="s">
        <v>261</v>
      </c>
      <c r="H216" s="13">
        <v>2.0</v>
      </c>
      <c r="I216" s="14" t="s">
        <v>61</v>
      </c>
      <c r="J216" s="15" t="s">
        <v>1009</v>
      </c>
      <c r="K216" s="14" t="str">
        <f t="shared" si="1"/>
        <v>05</v>
      </c>
      <c r="L216" s="14" t="s">
        <v>1010</v>
      </c>
      <c r="M216" s="14" t="s">
        <v>1050</v>
      </c>
      <c r="N216" s="14" t="s">
        <v>1051</v>
      </c>
      <c r="O216" s="16">
        <v>46290.0</v>
      </c>
      <c r="P216" s="14" t="s">
        <v>1052</v>
      </c>
      <c r="Q216" s="16">
        <v>46252.0</v>
      </c>
    </row>
    <row r="217">
      <c r="A217" s="13">
        <v>216.0</v>
      </c>
      <c r="B217" s="14" t="s">
        <v>302</v>
      </c>
      <c r="C217" s="14" t="s">
        <v>303</v>
      </c>
      <c r="D217" s="14" t="s">
        <v>304</v>
      </c>
      <c r="E217" s="14" t="s">
        <v>305</v>
      </c>
      <c r="F217" s="14" t="s">
        <v>162</v>
      </c>
      <c r="G217" s="14" t="s">
        <v>261</v>
      </c>
      <c r="H217" s="13">
        <v>2.0</v>
      </c>
      <c r="I217" s="14" t="s">
        <v>42</v>
      </c>
      <c r="J217" s="15" t="s">
        <v>1009</v>
      </c>
      <c r="K217" s="14" t="str">
        <f t="shared" si="1"/>
        <v>05</v>
      </c>
      <c r="L217" s="14" t="s">
        <v>1010</v>
      </c>
      <c r="M217" s="14" t="s">
        <v>1053</v>
      </c>
      <c r="N217" s="14" t="s">
        <v>1054</v>
      </c>
      <c r="O217" s="14" t="s">
        <v>64</v>
      </c>
      <c r="Q217" s="16">
        <v>46271.0</v>
      </c>
    </row>
    <row r="218">
      <c r="A218" s="13">
        <v>217.0</v>
      </c>
      <c r="B218" s="14" t="s">
        <v>586</v>
      </c>
      <c r="C218" s="14" t="s">
        <v>587</v>
      </c>
      <c r="D218" s="14" t="s">
        <v>588</v>
      </c>
      <c r="E218" s="14" t="s">
        <v>589</v>
      </c>
      <c r="F218" s="14" t="s">
        <v>40</v>
      </c>
      <c r="G218" s="14" t="s">
        <v>41</v>
      </c>
      <c r="H218" s="13">
        <v>2.0</v>
      </c>
      <c r="I218" s="14" t="s">
        <v>42</v>
      </c>
      <c r="J218" s="15" t="s">
        <v>1055</v>
      </c>
      <c r="K218" s="14" t="str">
        <f t="shared" si="1"/>
        <v>05</v>
      </c>
      <c r="L218" s="14" t="s">
        <v>1056</v>
      </c>
      <c r="M218" s="14" t="s">
        <v>1057</v>
      </c>
      <c r="N218" s="14" t="s">
        <v>1058</v>
      </c>
      <c r="O218" s="16">
        <v>46265.0</v>
      </c>
      <c r="Q218" s="16">
        <v>46147.0</v>
      </c>
    </row>
    <row r="219">
      <c r="A219" s="13">
        <v>218.0</v>
      </c>
      <c r="B219" s="14" t="s">
        <v>48</v>
      </c>
      <c r="C219" s="14" t="s">
        <v>49</v>
      </c>
      <c r="D219" s="14" t="s">
        <v>50</v>
      </c>
      <c r="E219" s="14" t="s">
        <v>829</v>
      </c>
      <c r="F219" s="14" t="s">
        <v>489</v>
      </c>
      <c r="G219" s="14" t="s">
        <v>41</v>
      </c>
      <c r="H219" s="13">
        <v>2.0</v>
      </c>
      <c r="I219" s="14" t="s">
        <v>61</v>
      </c>
      <c r="J219" s="15" t="s">
        <v>1055</v>
      </c>
      <c r="K219" s="14" t="str">
        <f t="shared" si="1"/>
        <v>05</v>
      </c>
      <c r="L219" s="14" t="s">
        <v>1056</v>
      </c>
      <c r="M219" s="14" t="s">
        <v>1059</v>
      </c>
      <c r="N219" s="14" t="s">
        <v>1060</v>
      </c>
      <c r="O219" s="16">
        <v>46257.0</v>
      </c>
      <c r="P219" s="14" t="s">
        <v>1061</v>
      </c>
      <c r="Q219" s="16">
        <v>46226.0</v>
      </c>
    </row>
    <row r="220">
      <c r="A220" s="13">
        <v>219.0</v>
      </c>
      <c r="B220" s="14" t="s">
        <v>836</v>
      </c>
      <c r="C220" s="14" t="s">
        <v>837</v>
      </c>
      <c r="D220" s="14" t="s">
        <v>838</v>
      </c>
      <c r="E220" s="14" t="s">
        <v>839</v>
      </c>
      <c r="F220" s="14" t="s">
        <v>40</v>
      </c>
      <c r="G220" s="14" t="s">
        <v>41</v>
      </c>
      <c r="H220" s="13">
        <v>2.0</v>
      </c>
      <c r="I220" s="14" t="s">
        <v>42</v>
      </c>
      <c r="J220" s="15" t="s">
        <v>1055</v>
      </c>
      <c r="K220" s="14" t="str">
        <f t="shared" si="1"/>
        <v>05</v>
      </c>
      <c r="L220" s="14" t="s">
        <v>1056</v>
      </c>
      <c r="M220" s="14" t="s">
        <v>1062</v>
      </c>
      <c r="N220" s="14" t="s">
        <v>1063</v>
      </c>
      <c r="O220" s="16">
        <v>46265.0</v>
      </c>
      <c r="Q220" s="16">
        <v>46147.0</v>
      </c>
    </row>
    <row r="221">
      <c r="A221" s="13">
        <v>220.0</v>
      </c>
      <c r="B221" s="14" t="s">
        <v>594</v>
      </c>
      <c r="C221" s="14" t="s">
        <v>595</v>
      </c>
      <c r="D221" s="14" t="s">
        <v>596</v>
      </c>
      <c r="E221" s="14" t="s">
        <v>597</v>
      </c>
      <c r="F221" s="14" t="s">
        <v>40</v>
      </c>
      <c r="G221" s="14" t="s">
        <v>41</v>
      </c>
      <c r="H221" s="13">
        <v>2.0</v>
      </c>
      <c r="I221" s="14" t="s">
        <v>61</v>
      </c>
      <c r="J221" s="15" t="s">
        <v>1055</v>
      </c>
      <c r="K221" s="14" t="str">
        <f t="shared" si="1"/>
        <v>05</v>
      </c>
      <c r="L221" s="14" t="s">
        <v>1056</v>
      </c>
      <c r="M221" s="14" t="s">
        <v>1064</v>
      </c>
      <c r="N221" s="14" t="s">
        <v>1065</v>
      </c>
      <c r="O221" s="16">
        <v>46269.0</v>
      </c>
      <c r="P221" s="14" t="s">
        <v>1066</v>
      </c>
      <c r="Q221" s="16">
        <v>46185.0</v>
      </c>
    </row>
    <row r="222">
      <c r="A222" s="13">
        <v>221.0</v>
      </c>
      <c r="B222" s="14" t="s">
        <v>1067</v>
      </c>
      <c r="C222" s="14" t="s">
        <v>1068</v>
      </c>
      <c r="D222" s="14" t="s">
        <v>1069</v>
      </c>
      <c r="E222" s="14" t="s">
        <v>1070</v>
      </c>
      <c r="F222" s="14" t="s">
        <v>40</v>
      </c>
      <c r="G222" s="14" t="s">
        <v>41</v>
      </c>
      <c r="H222" s="13">
        <v>2.0</v>
      </c>
      <c r="I222" s="14" t="s">
        <v>61</v>
      </c>
      <c r="J222" s="15" t="s">
        <v>1055</v>
      </c>
      <c r="K222" s="14" t="str">
        <f t="shared" si="1"/>
        <v>05</v>
      </c>
      <c r="L222" s="14" t="s">
        <v>1056</v>
      </c>
      <c r="M222" s="14" t="s">
        <v>1071</v>
      </c>
      <c r="N222" s="14" t="s">
        <v>1072</v>
      </c>
      <c r="O222" s="14" t="s">
        <v>64</v>
      </c>
      <c r="P222" s="14" t="s">
        <v>1073</v>
      </c>
      <c r="Q222" s="16">
        <v>46209.0</v>
      </c>
    </row>
    <row r="223">
      <c r="A223" s="13">
        <v>222.0</v>
      </c>
      <c r="B223" s="14" t="s">
        <v>842</v>
      </c>
      <c r="C223" s="14" t="s">
        <v>843</v>
      </c>
      <c r="D223" s="14" t="s">
        <v>844</v>
      </c>
      <c r="E223" s="14" t="s">
        <v>845</v>
      </c>
      <c r="F223" s="14" t="s">
        <v>40</v>
      </c>
      <c r="G223" s="14" t="s">
        <v>41</v>
      </c>
      <c r="H223" s="13">
        <v>2.0</v>
      </c>
      <c r="I223" s="14" t="s">
        <v>61</v>
      </c>
      <c r="J223" s="15" t="s">
        <v>1055</v>
      </c>
      <c r="K223" s="14" t="str">
        <f t="shared" si="1"/>
        <v>05</v>
      </c>
      <c r="L223" s="14" t="s">
        <v>1056</v>
      </c>
      <c r="M223" s="14" t="s">
        <v>1074</v>
      </c>
      <c r="N223" s="14" t="s">
        <v>1075</v>
      </c>
      <c r="O223" s="14" t="s">
        <v>64</v>
      </c>
      <c r="P223" s="14" t="s">
        <v>1076</v>
      </c>
      <c r="Q223" s="16">
        <v>46204.0</v>
      </c>
    </row>
    <row r="224">
      <c r="A224" s="13">
        <v>223.0</v>
      </c>
      <c r="B224" s="14" t="s">
        <v>697</v>
      </c>
      <c r="C224" s="14" t="s">
        <v>698</v>
      </c>
      <c r="D224" s="14" t="s">
        <v>699</v>
      </c>
      <c r="E224" s="14" t="s">
        <v>700</v>
      </c>
      <c r="F224" s="14" t="s">
        <v>489</v>
      </c>
      <c r="G224" s="14" t="s">
        <v>109</v>
      </c>
      <c r="H224" s="13">
        <v>2.0</v>
      </c>
      <c r="I224" s="14" t="s">
        <v>61</v>
      </c>
      <c r="J224" s="15" t="s">
        <v>1055</v>
      </c>
      <c r="K224" s="14" t="str">
        <f t="shared" si="1"/>
        <v>05</v>
      </c>
      <c r="L224" s="14" t="s">
        <v>1056</v>
      </c>
      <c r="M224" s="14" t="s">
        <v>1077</v>
      </c>
      <c r="N224" s="14" t="s">
        <v>1078</v>
      </c>
      <c r="O224" s="14" t="s">
        <v>64</v>
      </c>
      <c r="P224" s="14" t="s">
        <v>1079</v>
      </c>
      <c r="Q224" s="16">
        <v>46188.0</v>
      </c>
    </row>
    <row r="225">
      <c r="A225" s="13">
        <v>224.0</v>
      </c>
      <c r="B225" s="14" t="s">
        <v>351</v>
      </c>
      <c r="C225" s="14" t="s">
        <v>352</v>
      </c>
      <c r="D225" s="14" t="s">
        <v>353</v>
      </c>
      <c r="E225" s="14" t="s">
        <v>354</v>
      </c>
      <c r="F225" s="14" t="s">
        <v>40</v>
      </c>
      <c r="G225" s="14" t="s">
        <v>109</v>
      </c>
      <c r="H225" s="13">
        <v>2.0</v>
      </c>
      <c r="I225" s="14" t="s">
        <v>42</v>
      </c>
      <c r="J225" s="15" t="s">
        <v>1055</v>
      </c>
      <c r="K225" s="14" t="str">
        <f t="shared" si="1"/>
        <v>05</v>
      </c>
      <c r="L225" s="14" t="s">
        <v>1056</v>
      </c>
      <c r="M225" s="14" t="s">
        <v>1080</v>
      </c>
      <c r="N225" s="14" t="s">
        <v>1029</v>
      </c>
      <c r="O225" s="14" t="s">
        <v>64</v>
      </c>
      <c r="Q225" s="16">
        <v>46162.0</v>
      </c>
    </row>
    <row r="226">
      <c r="A226" s="13">
        <v>225.0</v>
      </c>
      <c r="B226" s="14" t="s">
        <v>365</v>
      </c>
      <c r="C226" s="14" t="s">
        <v>366</v>
      </c>
      <c r="D226" s="14" t="s">
        <v>368</v>
      </c>
      <c r="E226" s="14" t="s">
        <v>369</v>
      </c>
      <c r="F226" s="14" t="s">
        <v>40</v>
      </c>
      <c r="G226" s="14" t="s">
        <v>109</v>
      </c>
      <c r="H226" s="13">
        <v>2.0</v>
      </c>
      <c r="I226" s="14" t="s">
        <v>42</v>
      </c>
      <c r="J226" s="15" t="s">
        <v>1055</v>
      </c>
      <c r="K226" s="14" t="str">
        <f t="shared" si="1"/>
        <v>05</v>
      </c>
      <c r="L226" s="14" t="s">
        <v>1056</v>
      </c>
      <c r="M226" s="14" t="s">
        <v>1081</v>
      </c>
      <c r="N226" s="14" t="s">
        <v>1031</v>
      </c>
      <c r="O226" s="16">
        <v>46285.0</v>
      </c>
      <c r="Q226" s="16">
        <v>46162.0</v>
      </c>
    </row>
    <row r="227">
      <c r="A227" s="13">
        <v>226.0</v>
      </c>
      <c r="B227" s="14" t="s">
        <v>113</v>
      </c>
      <c r="C227" s="14" t="s">
        <v>114</v>
      </c>
      <c r="D227" s="14" t="s">
        <v>115</v>
      </c>
      <c r="E227" s="14" t="s">
        <v>116</v>
      </c>
      <c r="F227" s="14" t="s">
        <v>40</v>
      </c>
      <c r="G227" s="14" t="s">
        <v>109</v>
      </c>
      <c r="H227" s="13">
        <v>2.0</v>
      </c>
      <c r="I227" s="14" t="s">
        <v>61</v>
      </c>
      <c r="J227" s="15" t="s">
        <v>1055</v>
      </c>
      <c r="K227" s="14" t="str">
        <f t="shared" si="1"/>
        <v>05</v>
      </c>
      <c r="L227" s="14" t="s">
        <v>1056</v>
      </c>
      <c r="M227" s="14" t="s">
        <v>1082</v>
      </c>
      <c r="N227" s="14" t="s">
        <v>1083</v>
      </c>
      <c r="O227" s="14" t="s">
        <v>64</v>
      </c>
      <c r="P227" s="14" t="s">
        <v>1084</v>
      </c>
      <c r="Q227" s="16">
        <v>46180.0</v>
      </c>
    </row>
    <row r="228">
      <c r="A228" s="13">
        <v>227.0</v>
      </c>
      <c r="B228" s="14" t="s">
        <v>120</v>
      </c>
      <c r="C228" s="14" t="s">
        <v>121</v>
      </c>
      <c r="D228" s="14" t="s">
        <v>122</v>
      </c>
      <c r="E228" s="14" t="s">
        <v>1085</v>
      </c>
      <c r="F228" s="14" t="s">
        <v>489</v>
      </c>
      <c r="G228" s="14" t="s">
        <v>124</v>
      </c>
      <c r="H228" s="13">
        <v>2.0</v>
      </c>
      <c r="I228" s="14" t="s">
        <v>61</v>
      </c>
      <c r="J228" s="15" t="s">
        <v>1055</v>
      </c>
      <c r="K228" s="14" t="str">
        <f t="shared" si="1"/>
        <v>05</v>
      </c>
      <c r="L228" s="14" t="s">
        <v>1056</v>
      </c>
      <c r="M228" s="14" t="s">
        <v>1086</v>
      </c>
      <c r="N228" s="14" t="s">
        <v>1087</v>
      </c>
      <c r="O228" s="16">
        <v>46304.0</v>
      </c>
      <c r="P228" s="14" t="s">
        <v>1088</v>
      </c>
      <c r="Q228" s="16">
        <v>46234.0</v>
      </c>
    </row>
    <row r="229">
      <c r="A229" s="13">
        <v>228.0</v>
      </c>
      <c r="B229" s="14" t="s">
        <v>120</v>
      </c>
      <c r="C229" s="14" t="s">
        <v>121</v>
      </c>
      <c r="D229" s="14" t="s">
        <v>122</v>
      </c>
      <c r="E229" s="14" t="s">
        <v>123</v>
      </c>
      <c r="F229" s="14" t="s">
        <v>40</v>
      </c>
      <c r="G229" s="14" t="s">
        <v>124</v>
      </c>
      <c r="H229" s="13">
        <v>2.0</v>
      </c>
      <c r="I229" s="14" t="s">
        <v>61</v>
      </c>
      <c r="J229" s="15" t="s">
        <v>1055</v>
      </c>
      <c r="K229" s="14" t="str">
        <f t="shared" si="1"/>
        <v>05</v>
      </c>
      <c r="L229" s="14" t="s">
        <v>1056</v>
      </c>
      <c r="M229" s="14" t="s">
        <v>1089</v>
      </c>
      <c r="N229" s="14" t="s">
        <v>1090</v>
      </c>
      <c r="O229" s="16">
        <v>46283.0</v>
      </c>
      <c r="P229" s="14" t="s">
        <v>1091</v>
      </c>
      <c r="Q229" s="16">
        <v>46252.0</v>
      </c>
    </row>
    <row r="230">
      <c r="A230" s="13">
        <v>229.0</v>
      </c>
      <c r="B230" s="14" t="s">
        <v>557</v>
      </c>
      <c r="C230" s="14" t="s">
        <v>558</v>
      </c>
      <c r="D230" s="14" t="s">
        <v>559</v>
      </c>
      <c r="E230" s="14" t="s">
        <v>560</v>
      </c>
      <c r="F230" s="14" t="s">
        <v>40</v>
      </c>
      <c r="G230" s="14" t="s">
        <v>124</v>
      </c>
      <c r="H230" s="13">
        <v>2.0</v>
      </c>
      <c r="I230" s="14" t="s">
        <v>42</v>
      </c>
      <c r="J230" s="15" t="s">
        <v>1055</v>
      </c>
      <c r="K230" s="14" t="str">
        <f t="shared" si="1"/>
        <v>05</v>
      </c>
      <c r="L230" s="14" t="s">
        <v>1056</v>
      </c>
      <c r="M230" s="14" t="s">
        <v>1092</v>
      </c>
      <c r="N230" s="14" t="s">
        <v>1093</v>
      </c>
      <c r="O230" s="16">
        <v>46284.0</v>
      </c>
      <c r="Q230" s="16">
        <v>46175.0</v>
      </c>
    </row>
    <row r="231">
      <c r="A231" s="13">
        <v>230.0</v>
      </c>
      <c r="B231" s="14" t="s">
        <v>135</v>
      </c>
      <c r="C231" s="14" t="s">
        <v>136</v>
      </c>
      <c r="D231" s="14" t="s">
        <v>137</v>
      </c>
      <c r="E231" s="14" t="s">
        <v>138</v>
      </c>
      <c r="F231" s="14" t="s">
        <v>40</v>
      </c>
      <c r="G231" s="14" t="s">
        <v>124</v>
      </c>
      <c r="H231" s="13">
        <v>2.0</v>
      </c>
      <c r="I231" s="14" t="s">
        <v>61</v>
      </c>
      <c r="J231" s="15" t="s">
        <v>1055</v>
      </c>
      <c r="K231" s="14" t="str">
        <f t="shared" si="1"/>
        <v>05</v>
      </c>
      <c r="L231" s="14" t="s">
        <v>1056</v>
      </c>
      <c r="M231" s="14" t="s">
        <v>1094</v>
      </c>
      <c r="N231" s="14" t="s">
        <v>1095</v>
      </c>
      <c r="O231" s="16">
        <v>46304.0</v>
      </c>
      <c r="P231" s="14" t="s">
        <v>1096</v>
      </c>
      <c r="Q231" s="16">
        <v>46233.0</v>
      </c>
    </row>
    <row r="232">
      <c r="A232" s="13">
        <v>231.0</v>
      </c>
      <c r="B232" s="14" t="s">
        <v>1097</v>
      </c>
      <c r="C232" s="14" t="s">
        <v>1098</v>
      </c>
      <c r="D232" s="14" t="s">
        <v>1099</v>
      </c>
      <c r="E232" s="14" t="s">
        <v>1100</v>
      </c>
      <c r="F232" s="14" t="s">
        <v>551</v>
      </c>
      <c r="G232" s="14" t="s">
        <v>146</v>
      </c>
      <c r="H232" s="13">
        <v>2.0</v>
      </c>
      <c r="I232" s="14" t="s">
        <v>61</v>
      </c>
      <c r="J232" s="15" t="s">
        <v>1055</v>
      </c>
      <c r="K232" s="14" t="str">
        <f t="shared" si="1"/>
        <v>05</v>
      </c>
      <c r="L232" s="14" t="s">
        <v>1056</v>
      </c>
      <c r="M232" s="14" t="s">
        <v>1101</v>
      </c>
      <c r="N232" s="14" t="s">
        <v>1102</v>
      </c>
      <c r="O232" s="14" t="s">
        <v>64</v>
      </c>
      <c r="P232" s="14" t="s">
        <v>1103</v>
      </c>
      <c r="Q232" s="16">
        <v>46196.0</v>
      </c>
    </row>
    <row r="233">
      <c r="A233" s="13">
        <v>232.0</v>
      </c>
      <c r="B233" s="14" t="s">
        <v>900</v>
      </c>
      <c r="C233" s="14" t="s">
        <v>901</v>
      </c>
      <c r="D233" s="14" t="s">
        <v>902</v>
      </c>
      <c r="E233" s="14" t="s">
        <v>903</v>
      </c>
      <c r="F233" s="14" t="s">
        <v>40</v>
      </c>
      <c r="G233" s="14" t="s">
        <v>146</v>
      </c>
      <c r="H233" s="13">
        <v>2.0</v>
      </c>
      <c r="I233" s="14" t="s">
        <v>61</v>
      </c>
      <c r="J233" s="15" t="s">
        <v>1055</v>
      </c>
      <c r="K233" s="14" t="str">
        <f t="shared" si="1"/>
        <v>05</v>
      </c>
      <c r="L233" s="14" t="s">
        <v>1056</v>
      </c>
      <c r="M233" s="14" t="s">
        <v>1104</v>
      </c>
      <c r="N233" s="14" t="s">
        <v>1105</v>
      </c>
      <c r="O233" s="16">
        <v>46305.0</v>
      </c>
      <c r="P233" s="14" t="s">
        <v>1106</v>
      </c>
      <c r="Q233" s="16">
        <v>46273.0</v>
      </c>
    </row>
    <row r="234">
      <c r="A234" s="13">
        <v>233.0</v>
      </c>
      <c r="B234" s="14" t="s">
        <v>907</v>
      </c>
      <c r="C234" s="14" t="s">
        <v>908</v>
      </c>
      <c r="D234" s="14" t="s">
        <v>909</v>
      </c>
      <c r="E234" s="14" t="s">
        <v>910</v>
      </c>
      <c r="F234" s="14" t="s">
        <v>40</v>
      </c>
      <c r="G234" s="14" t="s">
        <v>146</v>
      </c>
      <c r="H234" s="13">
        <v>2.0</v>
      </c>
      <c r="I234" s="14" t="s">
        <v>42</v>
      </c>
      <c r="J234" s="15" t="s">
        <v>1055</v>
      </c>
      <c r="K234" s="14" t="str">
        <f t="shared" si="1"/>
        <v>05</v>
      </c>
      <c r="L234" s="14" t="s">
        <v>1056</v>
      </c>
      <c r="M234" s="14" t="s">
        <v>1107</v>
      </c>
      <c r="N234" s="14" t="s">
        <v>1033</v>
      </c>
      <c r="O234" s="16">
        <v>46304.0</v>
      </c>
      <c r="P234" s="14" t="s">
        <v>1108</v>
      </c>
      <c r="Q234" s="16">
        <v>46266.0</v>
      </c>
    </row>
    <row r="235">
      <c r="A235" s="13">
        <v>234.0</v>
      </c>
      <c r="B235" s="14" t="s">
        <v>158</v>
      </c>
      <c r="C235" s="14" t="s">
        <v>159</v>
      </c>
      <c r="D235" s="14" t="s">
        <v>160</v>
      </c>
      <c r="E235" s="14" t="s">
        <v>161</v>
      </c>
      <c r="F235" s="14" t="s">
        <v>162</v>
      </c>
      <c r="G235" s="14" t="s">
        <v>146</v>
      </c>
      <c r="H235" s="13">
        <v>2.0</v>
      </c>
      <c r="I235" s="14" t="s">
        <v>61</v>
      </c>
      <c r="J235" s="15" t="s">
        <v>1055</v>
      </c>
      <c r="K235" s="14" t="str">
        <f t="shared" si="1"/>
        <v>05</v>
      </c>
      <c r="L235" s="14" t="s">
        <v>1056</v>
      </c>
      <c r="M235" s="14" t="s">
        <v>1109</v>
      </c>
      <c r="N235" s="14" t="s">
        <v>1110</v>
      </c>
      <c r="O235" s="14" t="s">
        <v>64</v>
      </c>
      <c r="P235" s="14" t="s">
        <v>1111</v>
      </c>
      <c r="Q235" s="16">
        <v>46275.0</v>
      </c>
    </row>
    <row r="236">
      <c r="A236" s="13">
        <v>235.0</v>
      </c>
      <c r="B236" s="14" t="s">
        <v>166</v>
      </c>
      <c r="C236" s="14" t="s">
        <v>168</v>
      </c>
      <c r="D236" s="14" t="s">
        <v>169</v>
      </c>
      <c r="E236" s="14" t="s">
        <v>170</v>
      </c>
      <c r="F236" s="14" t="s">
        <v>171</v>
      </c>
      <c r="G236" s="14" t="s">
        <v>146</v>
      </c>
      <c r="H236" s="13">
        <v>2.0</v>
      </c>
      <c r="I236" s="14" t="s">
        <v>42</v>
      </c>
      <c r="J236" s="15" t="s">
        <v>1055</v>
      </c>
      <c r="K236" s="14" t="str">
        <f t="shared" si="1"/>
        <v>05</v>
      </c>
      <c r="L236" s="14" t="s">
        <v>1056</v>
      </c>
      <c r="M236" s="14" t="s">
        <v>1112</v>
      </c>
      <c r="N236" s="14" t="s">
        <v>1113</v>
      </c>
      <c r="O236" s="16">
        <v>46225.0</v>
      </c>
      <c r="Q236" s="16">
        <v>46195.0</v>
      </c>
    </row>
    <row r="237">
      <c r="A237" s="13">
        <v>236.0</v>
      </c>
      <c r="B237" s="14" t="s">
        <v>1114</v>
      </c>
      <c r="C237" s="14" t="s">
        <v>1115</v>
      </c>
      <c r="D237" s="14" t="s">
        <v>1116</v>
      </c>
      <c r="E237" s="14" t="s">
        <v>1117</v>
      </c>
      <c r="F237" s="14" t="s">
        <v>543</v>
      </c>
      <c r="G237" s="14" t="s">
        <v>191</v>
      </c>
      <c r="H237" s="13">
        <v>2.0</v>
      </c>
      <c r="I237" s="14" t="s">
        <v>42</v>
      </c>
      <c r="J237" s="15" t="s">
        <v>1055</v>
      </c>
      <c r="K237" s="14" t="str">
        <f t="shared" si="1"/>
        <v>05</v>
      </c>
      <c r="L237" s="14" t="s">
        <v>1056</v>
      </c>
      <c r="M237" s="14" t="s">
        <v>1118</v>
      </c>
      <c r="N237" s="14" t="s">
        <v>1119</v>
      </c>
      <c r="O237" s="16">
        <v>46288.0</v>
      </c>
      <c r="P237" s="14" t="s">
        <v>1120</v>
      </c>
      <c r="Q237" s="16">
        <v>46288.0</v>
      </c>
    </row>
    <row r="238">
      <c r="A238" s="13">
        <v>237.0</v>
      </c>
      <c r="B238" s="14" t="s">
        <v>392</v>
      </c>
      <c r="C238" s="14" t="s">
        <v>393</v>
      </c>
      <c r="D238" s="14" t="s">
        <v>394</v>
      </c>
      <c r="E238" s="14" t="s">
        <v>395</v>
      </c>
      <c r="F238" s="14" t="s">
        <v>40</v>
      </c>
      <c r="G238" s="14" t="s">
        <v>191</v>
      </c>
      <c r="H238" s="13">
        <v>2.0</v>
      </c>
      <c r="I238" s="14" t="s">
        <v>42</v>
      </c>
      <c r="J238" s="15" t="s">
        <v>1055</v>
      </c>
      <c r="K238" s="14" t="str">
        <f t="shared" si="1"/>
        <v>05</v>
      </c>
      <c r="L238" s="14" t="s">
        <v>1056</v>
      </c>
      <c r="M238" s="14" t="s">
        <v>1121</v>
      </c>
      <c r="N238" s="14" t="s">
        <v>1122</v>
      </c>
      <c r="O238" s="16">
        <v>46299.0</v>
      </c>
      <c r="P238" s="14" t="s">
        <v>1123</v>
      </c>
      <c r="Q238" s="16">
        <v>46287.0</v>
      </c>
    </row>
    <row r="239">
      <c r="A239" s="13">
        <v>238.0</v>
      </c>
      <c r="B239" s="14" t="s">
        <v>196</v>
      </c>
      <c r="C239" s="14" t="s">
        <v>197</v>
      </c>
      <c r="D239" s="14" t="s">
        <v>198</v>
      </c>
      <c r="E239" s="14" t="s">
        <v>1006</v>
      </c>
      <c r="F239" s="14" t="s">
        <v>543</v>
      </c>
      <c r="G239" s="14" t="s">
        <v>191</v>
      </c>
      <c r="H239" s="13">
        <v>2.0</v>
      </c>
      <c r="I239" s="14" t="s">
        <v>42</v>
      </c>
      <c r="J239" s="15" t="s">
        <v>1055</v>
      </c>
      <c r="K239" s="14" t="str">
        <f t="shared" si="1"/>
        <v>05</v>
      </c>
      <c r="L239" s="14" t="s">
        <v>1056</v>
      </c>
      <c r="M239" s="14" t="s">
        <v>1124</v>
      </c>
      <c r="N239" s="14" t="s">
        <v>1008</v>
      </c>
      <c r="O239" s="16">
        <v>46294.0</v>
      </c>
      <c r="Q239" s="16">
        <v>46217.0</v>
      </c>
    </row>
    <row r="240">
      <c r="A240" s="13">
        <v>239.0</v>
      </c>
      <c r="B240" s="14" t="s">
        <v>196</v>
      </c>
      <c r="C240" s="14" t="s">
        <v>197</v>
      </c>
      <c r="D240" s="14" t="s">
        <v>198</v>
      </c>
      <c r="E240" s="14" t="s">
        <v>488</v>
      </c>
      <c r="F240" s="14" t="s">
        <v>489</v>
      </c>
      <c r="G240" s="14" t="s">
        <v>191</v>
      </c>
      <c r="H240" s="13">
        <v>2.0</v>
      </c>
      <c r="I240" s="14" t="s">
        <v>42</v>
      </c>
      <c r="J240" s="15" t="s">
        <v>1055</v>
      </c>
      <c r="K240" s="14" t="str">
        <f t="shared" si="1"/>
        <v>05</v>
      </c>
      <c r="L240" s="14" t="s">
        <v>1056</v>
      </c>
      <c r="M240" s="14" t="s">
        <v>1125</v>
      </c>
      <c r="N240" s="14" t="s">
        <v>1126</v>
      </c>
      <c r="O240" s="16">
        <v>46289.0</v>
      </c>
      <c r="Q240" s="16">
        <v>46217.0</v>
      </c>
    </row>
    <row r="241">
      <c r="A241" s="13">
        <v>240.0</v>
      </c>
      <c r="B241" s="14" t="s">
        <v>786</v>
      </c>
      <c r="C241" s="14" t="s">
        <v>787</v>
      </c>
      <c r="D241" s="14" t="s">
        <v>788</v>
      </c>
      <c r="E241" s="14" t="s">
        <v>789</v>
      </c>
      <c r="F241" s="14" t="s">
        <v>207</v>
      </c>
      <c r="G241" s="14" t="s">
        <v>191</v>
      </c>
      <c r="H241" s="13">
        <v>2.0</v>
      </c>
      <c r="I241" s="14" t="s">
        <v>42</v>
      </c>
      <c r="J241" s="15" t="s">
        <v>1055</v>
      </c>
      <c r="K241" s="14" t="str">
        <f t="shared" si="1"/>
        <v>05</v>
      </c>
      <c r="L241" s="14" t="s">
        <v>1056</v>
      </c>
      <c r="M241" s="14" t="s">
        <v>1127</v>
      </c>
      <c r="N241" s="14" t="s">
        <v>1128</v>
      </c>
      <c r="O241" s="16">
        <v>46381.0</v>
      </c>
      <c r="Q241" s="16">
        <v>46217.0</v>
      </c>
    </row>
    <row r="242">
      <c r="A242" s="13">
        <v>241.0</v>
      </c>
      <c r="B242" s="14" t="s">
        <v>520</v>
      </c>
      <c r="C242" s="14" t="s">
        <v>521</v>
      </c>
      <c r="D242" s="14" t="s">
        <v>522</v>
      </c>
      <c r="E242" s="14" t="s">
        <v>523</v>
      </c>
      <c r="F242" s="14" t="s">
        <v>40</v>
      </c>
      <c r="G242" s="14" t="s">
        <v>261</v>
      </c>
      <c r="H242" s="13">
        <v>2.0</v>
      </c>
      <c r="I242" s="14" t="s">
        <v>42</v>
      </c>
      <c r="J242" s="15" t="s">
        <v>1055</v>
      </c>
      <c r="K242" s="14" t="str">
        <f t="shared" si="1"/>
        <v>05</v>
      </c>
      <c r="L242" s="14" t="s">
        <v>1056</v>
      </c>
      <c r="M242" s="14" t="s">
        <v>1129</v>
      </c>
      <c r="N242" s="14" t="s">
        <v>1130</v>
      </c>
      <c r="O242" s="16">
        <v>46316.0</v>
      </c>
      <c r="Q242" s="16">
        <v>46232.0</v>
      </c>
    </row>
    <row r="243">
      <c r="A243" s="13">
        <v>242.0</v>
      </c>
      <c r="B243" s="14" t="s">
        <v>647</v>
      </c>
      <c r="C243" s="14" t="s">
        <v>648</v>
      </c>
      <c r="D243" s="14" t="s">
        <v>649</v>
      </c>
      <c r="E243" s="14" t="s">
        <v>650</v>
      </c>
      <c r="F243" s="14" t="s">
        <v>40</v>
      </c>
      <c r="G243" s="14" t="s">
        <v>261</v>
      </c>
      <c r="H243" s="13">
        <v>2.0</v>
      </c>
      <c r="I243" s="14" t="s">
        <v>42</v>
      </c>
      <c r="J243" s="15" t="s">
        <v>1055</v>
      </c>
      <c r="K243" s="14" t="str">
        <f t="shared" si="1"/>
        <v>05</v>
      </c>
      <c r="L243" s="14" t="s">
        <v>1056</v>
      </c>
      <c r="M243" s="14" t="s">
        <v>1131</v>
      </c>
      <c r="N243" s="14" t="s">
        <v>1132</v>
      </c>
      <c r="O243" s="16">
        <v>46316.0</v>
      </c>
      <c r="P243" s="14" t="s">
        <v>1133</v>
      </c>
      <c r="Q243" s="16">
        <v>46232.0</v>
      </c>
    </row>
    <row r="244">
      <c r="A244" s="13">
        <v>243.0</v>
      </c>
      <c r="B244" s="14" t="s">
        <v>1134</v>
      </c>
      <c r="C244" s="14" t="s">
        <v>1135</v>
      </c>
      <c r="D244" s="14" t="s">
        <v>1136</v>
      </c>
      <c r="E244" s="14" t="s">
        <v>1137</v>
      </c>
      <c r="F244" s="14" t="s">
        <v>489</v>
      </c>
      <c r="G244" s="14" t="s">
        <v>261</v>
      </c>
      <c r="H244" s="13">
        <v>2.0</v>
      </c>
      <c r="I244" s="14" t="s">
        <v>42</v>
      </c>
      <c r="J244" s="15" t="s">
        <v>1055</v>
      </c>
      <c r="K244" s="14" t="str">
        <f t="shared" si="1"/>
        <v>05</v>
      </c>
      <c r="L244" s="14" t="s">
        <v>1056</v>
      </c>
      <c r="M244" s="14" t="s">
        <v>1138</v>
      </c>
      <c r="N244" s="14" t="s">
        <v>1139</v>
      </c>
      <c r="O244" s="16">
        <v>46317.0</v>
      </c>
      <c r="P244" s="14" t="s">
        <v>1140</v>
      </c>
      <c r="Q244" s="16">
        <v>46232.0</v>
      </c>
    </row>
    <row r="245">
      <c r="A245" s="13">
        <v>244.0</v>
      </c>
      <c r="B245" s="14" t="s">
        <v>286</v>
      </c>
      <c r="C245" s="14" t="s">
        <v>287</v>
      </c>
      <c r="D245" s="14" t="s">
        <v>288</v>
      </c>
      <c r="E245" s="14" t="s">
        <v>289</v>
      </c>
      <c r="F245" s="14" t="s">
        <v>162</v>
      </c>
      <c r="G245" s="14" t="s">
        <v>261</v>
      </c>
      <c r="H245" s="13">
        <v>2.0</v>
      </c>
      <c r="I245" s="14" t="s">
        <v>42</v>
      </c>
      <c r="J245" s="15" t="s">
        <v>1055</v>
      </c>
      <c r="K245" s="14" t="str">
        <f t="shared" si="1"/>
        <v>05</v>
      </c>
      <c r="L245" s="14" t="s">
        <v>1056</v>
      </c>
      <c r="M245" s="14" t="s">
        <v>1141</v>
      </c>
      <c r="N245" s="14" t="s">
        <v>1142</v>
      </c>
      <c r="O245" s="14" t="s">
        <v>64</v>
      </c>
      <c r="Q245" s="16">
        <v>46233.0</v>
      </c>
    </row>
    <row r="246">
      <c r="A246" s="13">
        <v>245.0</v>
      </c>
      <c r="B246" s="14" t="s">
        <v>310</v>
      </c>
      <c r="C246" s="14" t="s">
        <v>311</v>
      </c>
      <c r="D246" s="14" t="s">
        <v>313</v>
      </c>
      <c r="E246" s="14" t="s">
        <v>314</v>
      </c>
      <c r="F246" s="14" t="s">
        <v>162</v>
      </c>
      <c r="G246" s="14" t="s">
        <v>261</v>
      </c>
      <c r="H246" s="13">
        <v>2.0</v>
      </c>
      <c r="I246" s="14" t="s">
        <v>61</v>
      </c>
      <c r="J246" s="15" t="s">
        <v>1055</v>
      </c>
      <c r="K246" s="14" t="str">
        <f t="shared" si="1"/>
        <v>05</v>
      </c>
      <c r="L246" s="14" t="s">
        <v>1056</v>
      </c>
      <c r="M246" s="14" t="s">
        <v>1143</v>
      </c>
      <c r="N246" s="14" t="s">
        <v>1144</v>
      </c>
      <c r="O246" s="14" t="s">
        <v>64</v>
      </c>
      <c r="P246" s="14" t="s">
        <v>1145</v>
      </c>
      <c r="Q246" s="16">
        <v>46252.0</v>
      </c>
    </row>
    <row r="247">
      <c r="A247" s="13">
        <v>246.0</v>
      </c>
      <c r="B247" s="14" t="s">
        <v>318</v>
      </c>
      <c r="C247" s="14" t="s">
        <v>319</v>
      </c>
      <c r="D247" s="14" t="s">
        <v>320</v>
      </c>
      <c r="E247" s="14" t="s">
        <v>321</v>
      </c>
      <c r="F247" s="14" t="s">
        <v>70</v>
      </c>
      <c r="G247" s="14" t="s">
        <v>261</v>
      </c>
      <c r="H247" s="13">
        <v>2.0</v>
      </c>
      <c r="I247" s="14" t="s">
        <v>42</v>
      </c>
      <c r="J247" s="15" t="s">
        <v>1055</v>
      </c>
      <c r="K247" s="14" t="str">
        <f t="shared" si="1"/>
        <v>05</v>
      </c>
      <c r="L247" s="14" t="s">
        <v>1056</v>
      </c>
      <c r="M247" s="14" t="s">
        <v>1146</v>
      </c>
      <c r="N247" s="14" t="s">
        <v>1147</v>
      </c>
      <c r="O247" s="16">
        <v>46290.0</v>
      </c>
      <c r="Q247" s="16">
        <v>46273.0</v>
      </c>
    </row>
    <row r="248">
      <c r="A248" s="13">
        <v>247.0</v>
      </c>
      <c r="B248" s="14" t="s">
        <v>814</v>
      </c>
      <c r="C248" s="14" t="s">
        <v>815</v>
      </c>
      <c r="D248" s="14" t="s">
        <v>816</v>
      </c>
      <c r="E248" s="14" t="s">
        <v>817</v>
      </c>
      <c r="F248" s="14" t="s">
        <v>40</v>
      </c>
      <c r="G248" s="14" t="s">
        <v>329</v>
      </c>
      <c r="H248" s="13">
        <v>2.0</v>
      </c>
      <c r="I248" s="14" t="s">
        <v>61</v>
      </c>
      <c r="J248" s="15" t="s">
        <v>1055</v>
      </c>
      <c r="K248" s="14" t="str">
        <f t="shared" si="1"/>
        <v>05</v>
      </c>
      <c r="L248" s="14" t="s">
        <v>1056</v>
      </c>
      <c r="M248" s="14" t="s">
        <v>1148</v>
      </c>
      <c r="N248" s="14" t="s">
        <v>1149</v>
      </c>
      <c r="O248" s="14" t="s">
        <v>64</v>
      </c>
      <c r="P248" s="14" t="s">
        <v>1150</v>
      </c>
      <c r="Q248" s="16">
        <v>46265.0</v>
      </c>
    </row>
    <row r="249">
      <c r="A249" s="13">
        <v>248.0</v>
      </c>
      <c r="B249" s="14" t="s">
        <v>996</v>
      </c>
      <c r="C249" s="14" t="s">
        <v>997</v>
      </c>
      <c r="D249" s="14" t="s">
        <v>998</v>
      </c>
      <c r="E249" s="14" t="s">
        <v>999</v>
      </c>
      <c r="F249" s="14" t="s">
        <v>162</v>
      </c>
      <c r="G249" s="14" t="s">
        <v>329</v>
      </c>
      <c r="H249" s="13">
        <v>2.0</v>
      </c>
      <c r="I249" s="14" t="s">
        <v>42</v>
      </c>
      <c r="J249" s="15" t="s">
        <v>1055</v>
      </c>
      <c r="K249" s="14" t="str">
        <f t="shared" si="1"/>
        <v>05</v>
      </c>
      <c r="L249" s="14" t="s">
        <v>1056</v>
      </c>
      <c r="M249" s="14" t="s">
        <v>1151</v>
      </c>
      <c r="N249" s="14" t="s">
        <v>1152</v>
      </c>
      <c r="O249" s="16">
        <v>46292.0</v>
      </c>
      <c r="Q249" s="16">
        <v>46261.0</v>
      </c>
    </row>
    <row r="250">
      <c r="A250" s="13">
        <v>249.0</v>
      </c>
      <c r="B250" s="14" t="s">
        <v>539</v>
      </c>
      <c r="C250" s="14" t="s">
        <v>540</v>
      </c>
      <c r="D250" s="14" t="s">
        <v>541</v>
      </c>
      <c r="E250" s="14" t="s">
        <v>542</v>
      </c>
      <c r="F250" s="14" t="s">
        <v>543</v>
      </c>
      <c r="G250" s="14" t="s">
        <v>329</v>
      </c>
      <c r="H250" s="13">
        <v>2.0</v>
      </c>
      <c r="I250" s="14" t="s">
        <v>61</v>
      </c>
      <c r="J250" s="15" t="s">
        <v>1055</v>
      </c>
      <c r="K250" s="14" t="str">
        <f t="shared" si="1"/>
        <v>05</v>
      </c>
      <c r="L250" s="14" t="s">
        <v>1056</v>
      </c>
      <c r="M250" s="14" t="s">
        <v>1153</v>
      </c>
      <c r="N250" s="14" t="s">
        <v>1154</v>
      </c>
      <c r="O250" s="14" t="s">
        <v>64</v>
      </c>
      <c r="P250" s="14" t="s">
        <v>1155</v>
      </c>
      <c r="Q250" s="16">
        <v>46262.0</v>
      </c>
    </row>
    <row r="251">
      <c r="A251" s="13">
        <v>250.0</v>
      </c>
      <c r="B251" s="14" t="s">
        <v>48</v>
      </c>
      <c r="C251" s="14" t="s">
        <v>49</v>
      </c>
      <c r="D251" s="14" t="s">
        <v>50</v>
      </c>
      <c r="E251" s="14" t="s">
        <v>829</v>
      </c>
      <c r="F251" s="14" t="s">
        <v>489</v>
      </c>
      <c r="G251" s="14" t="s">
        <v>41</v>
      </c>
      <c r="H251" s="13">
        <v>2.0</v>
      </c>
      <c r="I251" s="14" t="s">
        <v>42</v>
      </c>
      <c r="J251" s="15" t="s">
        <v>1156</v>
      </c>
      <c r="K251" s="14" t="str">
        <f t="shared" si="1"/>
        <v>05</v>
      </c>
      <c r="L251" s="14" t="s">
        <v>1157</v>
      </c>
      <c r="M251" s="14" t="s">
        <v>1158</v>
      </c>
      <c r="N251" s="14" t="s">
        <v>1060</v>
      </c>
      <c r="O251" s="16">
        <v>46257.0</v>
      </c>
      <c r="P251" s="14" t="s">
        <v>1159</v>
      </c>
      <c r="Q251" s="16">
        <v>46226.0</v>
      </c>
    </row>
    <row r="252">
      <c r="A252" s="13">
        <v>251.0</v>
      </c>
      <c r="B252" s="14" t="s">
        <v>690</v>
      </c>
      <c r="C252" s="14" t="s">
        <v>691</v>
      </c>
      <c r="D252" s="14" t="s">
        <v>692</v>
      </c>
      <c r="E252" s="14" t="s">
        <v>693</v>
      </c>
      <c r="F252" s="14" t="s">
        <v>70</v>
      </c>
      <c r="G252" s="14" t="s">
        <v>109</v>
      </c>
      <c r="H252" s="13">
        <v>2.0</v>
      </c>
      <c r="I252" s="14" t="s">
        <v>42</v>
      </c>
      <c r="J252" s="15" t="s">
        <v>1156</v>
      </c>
      <c r="K252" s="14" t="str">
        <f t="shared" si="1"/>
        <v>05</v>
      </c>
      <c r="L252" s="14" t="s">
        <v>1157</v>
      </c>
      <c r="M252" s="14" t="s">
        <v>1160</v>
      </c>
      <c r="N252" s="14" t="s">
        <v>1026</v>
      </c>
      <c r="O252" s="16">
        <v>46290.0</v>
      </c>
      <c r="P252" s="14" t="s">
        <v>1161</v>
      </c>
      <c r="Q252" s="16">
        <v>46238.0</v>
      </c>
    </row>
    <row r="253">
      <c r="A253" s="13">
        <v>252.0</v>
      </c>
      <c r="B253" s="14" t="s">
        <v>120</v>
      </c>
      <c r="C253" s="14" t="s">
        <v>121</v>
      </c>
      <c r="D253" s="14" t="s">
        <v>122</v>
      </c>
      <c r="E253" s="14" t="s">
        <v>1085</v>
      </c>
      <c r="F253" s="14" t="s">
        <v>489</v>
      </c>
      <c r="G253" s="14" t="s">
        <v>124</v>
      </c>
      <c r="H253" s="13">
        <v>2.0</v>
      </c>
      <c r="I253" s="14" t="s">
        <v>42</v>
      </c>
      <c r="J253" s="15" t="s">
        <v>1156</v>
      </c>
      <c r="K253" s="14" t="str">
        <f t="shared" si="1"/>
        <v>05</v>
      </c>
      <c r="L253" s="14" t="s">
        <v>1157</v>
      </c>
      <c r="M253" s="14" t="s">
        <v>1162</v>
      </c>
      <c r="N253" s="14" t="s">
        <v>1087</v>
      </c>
      <c r="O253" s="16">
        <v>46304.0</v>
      </c>
      <c r="P253" s="14" t="s">
        <v>1163</v>
      </c>
      <c r="Q253" s="16">
        <v>46234.0</v>
      </c>
    </row>
    <row r="254">
      <c r="A254" s="13">
        <v>253.0</v>
      </c>
      <c r="B254" s="14" t="s">
        <v>158</v>
      </c>
      <c r="C254" s="14" t="s">
        <v>159</v>
      </c>
      <c r="D254" s="14" t="s">
        <v>160</v>
      </c>
      <c r="E254" s="14" t="s">
        <v>161</v>
      </c>
      <c r="F254" s="14" t="s">
        <v>162</v>
      </c>
      <c r="G254" s="14" t="s">
        <v>146</v>
      </c>
      <c r="H254" s="13">
        <v>2.0</v>
      </c>
      <c r="I254" s="14" t="s">
        <v>42</v>
      </c>
      <c r="J254" s="15" t="s">
        <v>1156</v>
      </c>
      <c r="K254" s="14" t="str">
        <f t="shared" si="1"/>
        <v>05</v>
      </c>
      <c r="L254" s="14" t="s">
        <v>1157</v>
      </c>
      <c r="M254" s="14" t="s">
        <v>1164</v>
      </c>
      <c r="N254" s="14" t="s">
        <v>1110</v>
      </c>
      <c r="O254" s="14" t="s">
        <v>64</v>
      </c>
      <c r="P254" s="14" t="s">
        <v>1165</v>
      </c>
      <c r="Q254" s="16">
        <v>46275.0</v>
      </c>
    </row>
    <row r="255">
      <c r="A255" s="13">
        <v>254.0</v>
      </c>
      <c r="B255" s="14" t="s">
        <v>166</v>
      </c>
      <c r="C255" s="14" t="s">
        <v>168</v>
      </c>
      <c r="D255" s="14" t="s">
        <v>169</v>
      </c>
      <c r="E255" s="14" t="s">
        <v>170</v>
      </c>
      <c r="F255" s="14" t="s">
        <v>171</v>
      </c>
      <c r="G255" s="14" t="s">
        <v>146</v>
      </c>
      <c r="H255" s="13">
        <v>2.0</v>
      </c>
      <c r="I255" s="14" t="s">
        <v>42</v>
      </c>
      <c r="J255" s="15" t="s">
        <v>1156</v>
      </c>
      <c r="K255" s="14" t="str">
        <f t="shared" si="1"/>
        <v>05</v>
      </c>
      <c r="L255" s="14" t="s">
        <v>1157</v>
      </c>
      <c r="M255" s="14" t="s">
        <v>1166</v>
      </c>
      <c r="N255" s="14" t="s">
        <v>1113</v>
      </c>
      <c r="O255" s="16">
        <v>46225.0</v>
      </c>
      <c r="Q255" s="16">
        <v>46195.0</v>
      </c>
    </row>
    <row r="256">
      <c r="A256" s="13">
        <v>255.0</v>
      </c>
      <c r="B256" s="14" t="s">
        <v>715</v>
      </c>
      <c r="C256" s="14" t="s">
        <v>716</v>
      </c>
      <c r="D256" s="14" t="s">
        <v>717</v>
      </c>
      <c r="E256" s="14" t="s">
        <v>718</v>
      </c>
      <c r="F256" s="14" t="s">
        <v>178</v>
      </c>
      <c r="G256" s="14" t="s">
        <v>146</v>
      </c>
      <c r="H256" s="13">
        <v>2.0</v>
      </c>
      <c r="I256" s="14" t="s">
        <v>61</v>
      </c>
      <c r="J256" s="15" t="s">
        <v>1156</v>
      </c>
      <c r="K256" s="14" t="str">
        <f t="shared" si="1"/>
        <v>05</v>
      </c>
      <c r="L256" s="14" t="s">
        <v>1157</v>
      </c>
      <c r="M256" s="14" t="s">
        <v>1167</v>
      </c>
      <c r="N256" s="14" t="s">
        <v>1168</v>
      </c>
      <c r="O256" s="16">
        <v>46304.0</v>
      </c>
      <c r="P256" s="14" t="s">
        <v>1169</v>
      </c>
      <c r="Q256" s="16">
        <v>46205.0</v>
      </c>
    </row>
    <row r="257">
      <c r="A257" s="13">
        <v>256.0</v>
      </c>
      <c r="B257" s="14" t="s">
        <v>1170</v>
      </c>
      <c r="C257" s="14" t="s">
        <v>1171</v>
      </c>
      <c r="D257" s="14" t="s">
        <v>1172</v>
      </c>
      <c r="E257" s="14" t="s">
        <v>1173</v>
      </c>
      <c r="F257" s="14" t="s">
        <v>178</v>
      </c>
      <c r="G257" s="14" t="s">
        <v>191</v>
      </c>
      <c r="H257" s="13">
        <v>2.0</v>
      </c>
      <c r="I257" s="14" t="s">
        <v>61</v>
      </c>
      <c r="J257" s="15" t="s">
        <v>1156</v>
      </c>
      <c r="K257" s="14" t="str">
        <f t="shared" si="1"/>
        <v>05</v>
      </c>
      <c r="L257" s="14" t="s">
        <v>1157</v>
      </c>
      <c r="M257" s="14" t="s">
        <v>1174</v>
      </c>
      <c r="N257" s="14" t="s">
        <v>1175</v>
      </c>
      <c r="O257" s="14" t="s">
        <v>64</v>
      </c>
      <c r="P257" s="14" t="s">
        <v>1176</v>
      </c>
      <c r="Q257" s="16">
        <v>46279.0</v>
      </c>
    </row>
    <row r="258">
      <c r="A258" s="13">
        <v>257.0</v>
      </c>
      <c r="B258" s="14" t="s">
        <v>1114</v>
      </c>
      <c r="C258" s="14" t="s">
        <v>1115</v>
      </c>
      <c r="D258" s="14" t="s">
        <v>1116</v>
      </c>
      <c r="E258" s="14" t="s">
        <v>1117</v>
      </c>
      <c r="F258" s="14" t="s">
        <v>543</v>
      </c>
      <c r="G258" s="14" t="s">
        <v>191</v>
      </c>
      <c r="H258" s="13">
        <v>2.0</v>
      </c>
      <c r="I258" s="14" t="s">
        <v>42</v>
      </c>
      <c r="J258" s="15" t="s">
        <v>1156</v>
      </c>
      <c r="K258" s="14" t="str">
        <f t="shared" si="1"/>
        <v>05</v>
      </c>
      <c r="L258" s="14" t="s">
        <v>1157</v>
      </c>
      <c r="M258" s="14" t="s">
        <v>1177</v>
      </c>
      <c r="N258" s="14" t="s">
        <v>1119</v>
      </c>
      <c r="O258" s="16">
        <v>46288.0</v>
      </c>
      <c r="P258" s="14" t="s">
        <v>1178</v>
      </c>
      <c r="Q258" s="16">
        <v>46288.0</v>
      </c>
    </row>
    <row r="259">
      <c r="A259" s="13">
        <v>258.0</v>
      </c>
      <c r="B259" s="14" t="s">
        <v>1179</v>
      </c>
      <c r="C259" s="14" t="s">
        <v>1180</v>
      </c>
      <c r="D259" s="14" t="s">
        <v>1181</v>
      </c>
      <c r="E259" s="14" t="s">
        <v>1182</v>
      </c>
      <c r="F259" s="14" t="s">
        <v>178</v>
      </c>
      <c r="G259" s="14" t="s">
        <v>261</v>
      </c>
      <c r="H259" s="13">
        <v>2.0</v>
      </c>
      <c r="I259" s="14" t="s">
        <v>61</v>
      </c>
      <c r="J259" s="15" t="s">
        <v>1156</v>
      </c>
      <c r="K259" s="14" t="str">
        <f t="shared" si="1"/>
        <v>05</v>
      </c>
      <c r="L259" s="14" t="s">
        <v>1157</v>
      </c>
      <c r="M259" s="14" t="s">
        <v>1183</v>
      </c>
      <c r="N259" s="14" t="s">
        <v>1184</v>
      </c>
      <c r="O259" s="14" t="s">
        <v>64</v>
      </c>
      <c r="P259" s="14" t="s">
        <v>1185</v>
      </c>
      <c r="Q259" s="16">
        <v>46273.0</v>
      </c>
    </row>
    <row r="260">
      <c r="A260" s="13">
        <v>259.0</v>
      </c>
      <c r="B260" s="14" t="s">
        <v>257</v>
      </c>
      <c r="C260" s="14" t="s">
        <v>258</v>
      </c>
      <c r="D260" s="14" t="s">
        <v>259</v>
      </c>
      <c r="E260" s="14" t="s">
        <v>260</v>
      </c>
      <c r="F260" s="14" t="s">
        <v>250</v>
      </c>
      <c r="G260" s="14" t="s">
        <v>261</v>
      </c>
      <c r="H260" s="13">
        <v>2.0</v>
      </c>
      <c r="I260" s="14" t="s">
        <v>42</v>
      </c>
      <c r="J260" s="15" t="s">
        <v>1156</v>
      </c>
      <c r="K260" s="14" t="str">
        <f t="shared" si="1"/>
        <v>05</v>
      </c>
      <c r="L260" s="14" t="s">
        <v>1157</v>
      </c>
      <c r="M260" s="14" t="s">
        <v>1186</v>
      </c>
      <c r="N260" s="14" t="s">
        <v>1187</v>
      </c>
      <c r="O260" s="16">
        <v>46318.0</v>
      </c>
      <c r="Q260" s="16">
        <v>46232.0</v>
      </c>
    </row>
    <row r="261">
      <c r="A261" s="13">
        <v>260.0</v>
      </c>
      <c r="B261" s="14" t="s">
        <v>264</v>
      </c>
      <c r="C261" s="14" t="s">
        <v>265</v>
      </c>
      <c r="D261" s="14" t="s">
        <v>266</v>
      </c>
      <c r="E261" s="14" t="s">
        <v>267</v>
      </c>
      <c r="F261" s="14" t="s">
        <v>60</v>
      </c>
      <c r="G261" s="14" t="s">
        <v>261</v>
      </c>
      <c r="H261" s="13">
        <v>2.0</v>
      </c>
      <c r="I261" s="14" t="s">
        <v>61</v>
      </c>
      <c r="J261" s="15" t="s">
        <v>1156</v>
      </c>
      <c r="K261" s="14" t="str">
        <f t="shared" si="1"/>
        <v>05</v>
      </c>
      <c r="L261" s="14" t="s">
        <v>1157</v>
      </c>
      <c r="M261" s="14" t="s">
        <v>1188</v>
      </c>
      <c r="N261" s="14" t="s">
        <v>1189</v>
      </c>
      <c r="O261" s="16">
        <v>46290.0</v>
      </c>
      <c r="P261" s="14" t="s">
        <v>1190</v>
      </c>
      <c r="Q261" s="16">
        <v>46294.0</v>
      </c>
    </row>
    <row r="262">
      <c r="A262" s="13">
        <v>261.0</v>
      </c>
      <c r="B262" s="14" t="s">
        <v>1191</v>
      </c>
      <c r="C262" s="14" t="s">
        <v>1192</v>
      </c>
      <c r="D262" s="14" t="s">
        <v>1193</v>
      </c>
      <c r="E262" s="14" t="s">
        <v>1194</v>
      </c>
      <c r="F262" s="14" t="s">
        <v>489</v>
      </c>
      <c r="G262" s="14" t="s">
        <v>297</v>
      </c>
      <c r="H262" s="13">
        <v>2.0</v>
      </c>
      <c r="I262" s="14" t="s">
        <v>42</v>
      </c>
      <c r="J262" s="15" t="s">
        <v>1156</v>
      </c>
      <c r="K262" s="14" t="str">
        <f t="shared" si="1"/>
        <v>05</v>
      </c>
      <c r="L262" s="14" t="s">
        <v>1157</v>
      </c>
      <c r="M262" s="14" t="s">
        <v>1195</v>
      </c>
      <c r="N262" s="14" t="s">
        <v>1196</v>
      </c>
      <c r="O262" s="16">
        <v>46305.0</v>
      </c>
      <c r="Q262" s="16">
        <v>46233.0</v>
      </c>
    </row>
    <row r="263">
      <c r="A263" s="13">
        <v>262.0</v>
      </c>
      <c r="B263" s="14" t="s">
        <v>974</v>
      </c>
      <c r="C263" s="14" t="s">
        <v>975</v>
      </c>
      <c r="D263" s="14" t="s">
        <v>976</v>
      </c>
      <c r="E263" s="14" t="s">
        <v>977</v>
      </c>
      <c r="F263" s="14" t="s">
        <v>207</v>
      </c>
      <c r="G263" s="14" t="s">
        <v>297</v>
      </c>
      <c r="H263" s="13">
        <v>2.0</v>
      </c>
      <c r="I263" s="14" t="s">
        <v>61</v>
      </c>
      <c r="J263" s="15" t="s">
        <v>1156</v>
      </c>
      <c r="K263" s="14" t="str">
        <f t="shared" si="1"/>
        <v>05</v>
      </c>
      <c r="L263" s="14" t="s">
        <v>1157</v>
      </c>
      <c r="M263" s="14" t="s">
        <v>1197</v>
      </c>
      <c r="N263" s="14" t="s">
        <v>1198</v>
      </c>
      <c r="O263" s="14" t="s">
        <v>64</v>
      </c>
      <c r="P263" s="14" t="s">
        <v>1199</v>
      </c>
      <c r="Q263" s="16">
        <v>46254.0</v>
      </c>
    </row>
    <row r="264">
      <c r="A264" s="13">
        <v>263.0</v>
      </c>
      <c r="B264" s="14" t="s">
        <v>504</v>
      </c>
      <c r="C264" s="14" t="s">
        <v>505</v>
      </c>
      <c r="D264" s="14" t="s">
        <v>506</v>
      </c>
      <c r="E264" s="14" t="s">
        <v>507</v>
      </c>
      <c r="F264" s="14" t="s">
        <v>70</v>
      </c>
      <c r="G264" s="14" t="s">
        <v>329</v>
      </c>
      <c r="H264" s="13">
        <v>2.0</v>
      </c>
      <c r="I264" s="14" t="s">
        <v>61</v>
      </c>
      <c r="J264" s="15" t="s">
        <v>1156</v>
      </c>
      <c r="K264" s="14" t="str">
        <f t="shared" si="1"/>
        <v>05</v>
      </c>
      <c r="L264" s="14" t="s">
        <v>1157</v>
      </c>
      <c r="M264" s="14" t="s">
        <v>1200</v>
      </c>
      <c r="N264" s="14" t="s">
        <v>1201</v>
      </c>
      <c r="O264" s="16">
        <v>46331.0</v>
      </c>
      <c r="P264" s="14" t="s">
        <v>1202</v>
      </c>
      <c r="Q264" s="16">
        <v>46283.0</v>
      </c>
    </row>
    <row r="265">
      <c r="A265" s="13">
        <v>264.0</v>
      </c>
      <c r="B265" s="14" t="s">
        <v>1203</v>
      </c>
      <c r="C265" s="14" t="s">
        <v>1204</v>
      </c>
      <c r="D265" s="14" t="s">
        <v>1205</v>
      </c>
      <c r="E265" s="14" t="s">
        <v>1206</v>
      </c>
      <c r="F265" s="14" t="s">
        <v>40</v>
      </c>
      <c r="G265" s="14" t="s">
        <v>191</v>
      </c>
      <c r="H265" s="13">
        <v>2.0</v>
      </c>
      <c r="I265" s="14" t="s">
        <v>61</v>
      </c>
      <c r="J265" s="15" t="s">
        <v>1207</v>
      </c>
      <c r="K265" s="14" t="str">
        <f t="shared" si="1"/>
        <v>06</v>
      </c>
      <c r="L265" s="14" t="s">
        <v>1208</v>
      </c>
      <c r="M265" s="14" t="s">
        <v>1209</v>
      </c>
      <c r="N265" s="14" t="s">
        <v>1210</v>
      </c>
      <c r="O265" s="14" t="s">
        <v>64</v>
      </c>
      <c r="P265" s="14" t="s">
        <v>1211</v>
      </c>
      <c r="Q265" s="16">
        <v>46221.0</v>
      </c>
    </row>
    <row r="266">
      <c r="A266" s="13">
        <v>265.0</v>
      </c>
      <c r="B266" s="14" t="s">
        <v>196</v>
      </c>
      <c r="C266" s="14" t="s">
        <v>197</v>
      </c>
      <c r="D266" s="14" t="s">
        <v>198</v>
      </c>
      <c r="E266" s="14" t="s">
        <v>1006</v>
      </c>
      <c r="F266" s="14" t="s">
        <v>543</v>
      </c>
      <c r="G266" s="14" t="s">
        <v>191</v>
      </c>
      <c r="H266" s="13">
        <v>2.0</v>
      </c>
      <c r="I266" s="14" t="s">
        <v>42</v>
      </c>
      <c r="J266" s="15" t="s">
        <v>1207</v>
      </c>
      <c r="K266" s="14" t="str">
        <f t="shared" si="1"/>
        <v>06</v>
      </c>
      <c r="L266" s="14" t="s">
        <v>1208</v>
      </c>
      <c r="M266" s="14" t="s">
        <v>1212</v>
      </c>
      <c r="N266" s="14" t="s">
        <v>1213</v>
      </c>
      <c r="O266" s="16">
        <v>46294.0</v>
      </c>
      <c r="Q266" s="16">
        <v>46217.0</v>
      </c>
    </row>
    <row r="267">
      <c r="A267" s="13">
        <v>266.0</v>
      </c>
      <c r="B267" s="14" t="s">
        <v>398</v>
      </c>
      <c r="C267" s="14" t="s">
        <v>399</v>
      </c>
      <c r="D267" s="14" t="s">
        <v>400</v>
      </c>
      <c r="E267" s="14" t="s">
        <v>401</v>
      </c>
      <c r="F267" s="14" t="s">
        <v>40</v>
      </c>
      <c r="G267" s="14" t="s">
        <v>222</v>
      </c>
      <c r="H267" s="13">
        <v>2.0</v>
      </c>
      <c r="I267" s="14" t="s">
        <v>42</v>
      </c>
      <c r="J267" s="15" t="s">
        <v>1207</v>
      </c>
      <c r="K267" s="14" t="str">
        <f t="shared" si="1"/>
        <v>06</v>
      </c>
      <c r="L267" s="14" t="s">
        <v>1208</v>
      </c>
      <c r="M267" s="14" t="s">
        <v>1214</v>
      </c>
      <c r="N267" s="14" t="s">
        <v>1215</v>
      </c>
      <c r="O267" s="16">
        <v>46291.0</v>
      </c>
      <c r="P267" s="14" t="s">
        <v>1216</v>
      </c>
      <c r="Q267" s="16">
        <v>46230.0</v>
      </c>
    </row>
    <row r="268">
      <c r="A268" s="13">
        <v>267.0</v>
      </c>
      <c r="B268" s="14" t="s">
        <v>246</v>
      </c>
      <c r="C268" s="14" t="s">
        <v>247</v>
      </c>
      <c r="D268" s="14" t="s">
        <v>248</v>
      </c>
      <c r="E268" s="14" t="s">
        <v>577</v>
      </c>
      <c r="F268" s="14" t="s">
        <v>489</v>
      </c>
      <c r="G268" s="14" t="s">
        <v>222</v>
      </c>
      <c r="H268" s="13">
        <v>2.0</v>
      </c>
      <c r="I268" s="14" t="s">
        <v>42</v>
      </c>
      <c r="J268" s="15" t="s">
        <v>1207</v>
      </c>
      <c r="K268" s="14" t="str">
        <f t="shared" si="1"/>
        <v>06</v>
      </c>
      <c r="L268" s="14" t="s">
        <v>1208</v>
      </c>
      <c r="M268" s="14" t="s">
        <v>1217</v>
      </c>
      <c r="N268" s="14" t="s">
        <v>1218</v>
      </c>
      <c r="O268" s="16">
        <v>46291.0</v>
      </c>
      <c r="Q268" s="16">
        <v>46230.0</v>
      </c>
    </row>
    <row r="269">
      <c r="A269" s="13">
        <v>268.0</v>
      </c>
      <c r="B269" s="14" t="s">
        <v>318</v>
      </c>
      <c r="C269" s="14" t="s">
        <v>319</v>
      </c>
      <c r="D269" s="14" t="s">
        <v>320</v>
      </c>
      <c r="E269" s="14" t="s">
        <v>321</v>
      </c>
      <c r="F269" s="14" t="s">
        <v>70</v>
      </c>
      <c r="G269" s="14" t="s">
        <v>261</v>
      </c>
      <c r="H269" s="13">
        <v>2.0</v>
      </c>
      <c r="I269" s="14" t="s">
        <v>42</v>
      </c>
      <c r="J269" s="15" t="s">
        <v>1207</v>
      </c>
      <c r="K269" s="14" t="str">
        <f t="shared" si="1"/>
        <v>06</v>
      </c>
      <c r="L269" s="14" t="s">
        <v>1208</v>
      </c>
      <c r="M269" s="14" t="s">
        <v>1219</v>
      </c>
      <c r="N269" s="14" t="s">
        <v>1220</v>
      </c>
      <c r="O269" s="16">
        <v>46290.0</v>
      </c>
      <c r="P269" s="14" t="s">
        <v>1221</v>
      </c>
      <c r="Q269" s="16">
        <v>46273.0</v>
      </c>
    </row>
    <row r="270">
      <c r="A270" s="13">
        <v>269.0</v>
      </c>
      <c r="B270" s="14" t="s">
        <v>36</v>
      </c>
      <c r="C270" s="14" t="s">
        <v>37</v>
      </c>
      <c r="D270" s="14" t="s">
        <v>38</v>
      </c>
      <c r="E270" s="14" t="s">
        <v>39</v>
      </c>
      <c r="F270" s="14" t="s">
        <v>40</v>
      </c>
      <c r="G270" s="14" t="s">
        <v>41</v>
      </c>
      <c r="H270" s="13">
        <v>2.0</v>
      </c>
      <c r="I270" s="14" t="s">
        <v>42</v>
      </c>
      <c r="J270" s="15" t="s">
        <v>1222</v>
      </c>
      <c r="K270" s="14" t="str">
        <f t="shared" si="1"/>
        <v>06</v>
      </c>
      <c r="L270" s="14" t="s">
        <v>1223</v>
      </c>
      <c r="M270" s="14" t="s">
        <v>1224</v>
      </c>
      <c r="N270" s="14" t="s">
        <v>1225</v>
      </c>
      <c r="O270" s="16">
        <v>46241.0</v>
      </c>
      <c r="Q270" s="16">
        <v>46147.0</v>
      </c>
    </row>
    <row r="271">
      <c r="A271" s="13">
        <v>270.0</v>
      </c>
      <c r="B271" s="14" t="s">
        <v>586</v>
      </c>
      <c r="C271" s="14" t="s">
        <v>587</v>
      </c>
      <c r="D271" s="14" t="s">
        <v>588</v>
      </c>
      <c r="E271" s="14" t="s">
        <v>589</v>
      </c>
      <c r="F271" s="14" t="s">
        <v>40</v>
      </c>
      <c r="G271" s="14" t="s">
        <v>41</v>
      </c>
      <c r="H271" s="13">
        <v>2.0</v>
      </c>
      <c r="I271" s="14" t="s">
        <v>42</v>
      </c>
      <c r="J271" s="15" t="s">
        <v>1222</v>
      </c>
      <c r="K271" s="14" t="str">
        <f t="shared" si="1"/>
        <v>06</v>
      </c>
      <c r="L271" s="14" t="s">
        <v>1223</v>
      </c>
      <c r="M271" s="14" t="s">
        <v>1226</v>
      </c>
      <c r="N271" s="14" t="s">
        <v>1227</v>
      </c>
      <c r="O271" s="16">
        <v>46265.0</v>
      </c>
      <c r="Q271" s="16">
        <v>46147.0</v>
      </c>
    </row>
    <row r="272">
      <c r="A272" s="13">
        <v>271.0</v>
      </c>
      <c r="B272" s="14" t="s">
        <v>48</v>
      </c>
      <c r="C272" s="14" t="s">
        <v>49</v>
      </c>
      <c r="D272" s="14" t="s">
        <v>50</v>
      </c>
      <c r="E272" s="14" t="s">
        <v>829</v>
      </c>
      <c r="F272" s="14" t="s">
        <v>489</v>
      </c>
      <c r="G272" s="14" t="s">
        <v>41</v>
      </c>
      <c r="H272" s="13">
        <v>2.0</v>
      </c>
      <c r="I272" s="14" t="s">
        <v>42</v>
      </c>
      <c r="J272" s="15" t="s">
        <v>1222</v>
      </c>
      <c r="K272" s="14" t="str">
        <f t="shared" si="1"/>
        <v>06</v>
      </c>
      <c r="L272" s="14" t="s">
        <v>1223</v>
      </c>
      <c r="M272" s="14" t="s">
        <v>1228</v>
      </c>
      <c r="N272" s="14" t="s">
        <v>1229</v>
      </c>
      <c r="O272" s="16">
        <v>46257.0</v>
      </c>
      <c r="P272" s="14" t="s">
        <v>1230</v>
      </c>
      <c r="Q272" s="16">
        <v>46226.0</v>
      </c>
    </row>
    <row r="273">
      <c r="A273" s="13">
        <v>272.0</v>
      </c>
      <c r="B273" s="14" t="s">
        <v>158</v>
      </c>
      <c r="C273" s="14" t="s">
        <v>159</v>
      </c>
      <c r="D273" s="14" t="s">
        <v>160</v>
      </c>
      <c r="E273" s="14" t="s">
        <v>161</v>
      </c>
      <c r="F273" s="14" t="s">
        <v>162</v>
      </c>
      <c r="G273" s="14" t="s">
        <v>146</v>
      </c>
      <c r="H273" s="13">
        <v>2.0</v>
      </c>
      <c r="I273" s="14" t="s">
        <v>61</v>
      </c>
      <c r="J273" s="15" t="s">
        <v>1222</v>
      </c>
      <c r="K273" s="14" t="str">
        <f t="shared" si="1"/>
        <v>06</v>
      </c>
      <c r="L273" s="14" t="s">
        <v>1223</v>
      </c>
      <c r="M273" s="14" t="s">
        <v>1231</v>
      </c>
      <c r="N273" s="14" t="s">
        <v>1232</v>
      </c>
      <c r="O273" s="14" t="s">
        <v>64</v>
      </c>
      <c r="P273" s="14" t="s">
        <v>1233</v>
      </c>
      <c r="Q273" s="16">
        <v>46275.0</v>
      </c>
    </row>
    <row r="274">
      <c r="A274" s="13">
        <v>273.0</v>
      </c>
      <c r="B274" s="14" t="s">
        <v>715</v>
      </c>
      <c r="C274" s="14" t="s">
        <v>716</v>
      </c>
      <c r="D274" s="14" t="s">
        <v>717</v>
      </c>
      <c r="E274" s="14" t="s">
        <v>718</v>
      </c>
      <c r="F274" s="14" t="s">
        <v>178</v>
      </c>
      <c r="G274" s="14" t="s">
        <v>146</v>
      </c>
      <c r="H274" s="13">
        <v>2.0</v>
      </c>
      <c r="I274" s="14" t="s">
        <v>61</v>
      </c>
      <c r="J274" s="15" t="s">
        <v>1222</v>
      </c>
      <c r="K274" s="14" t="str">
        <f t="shared" si="1"/>
        <v>06</v>
      </c>
      <c r="L274" s="14" t="s">
        <v>1223</v>
      </c>
      <c r="M274" s="14" t="s">
        <v>1234</v>
      </c>
      <c r="N274" s="14" t="s">
        <v>1235</v>
      </c>
      <c r="O274" s="16">
        <v>46304.0</v>
      </c>
      <c r="P274" s="14" t="s">
        <v>1236</v>
      </c>
      <c r="Q274" s="16">
        <v>46205.0</v>
      </c>
    </row>
    <row r="275">
      <c r="A275" s="13">
        <v>274.0</v>
      </c>
      <c r="B275" s="14" t="s">
        <v>196</v>
      </c>
      <c r="C275" s="14" t="s">
        <v>197</v>
      </c>
      <c r="D275" s="14" t="s">
        <v>198</v>
      </c>
      <c r="E275" s="14" t="s">
        <v>734</v>
      </c>
      <c r="F275" s="14" t="s">
        <v>527</v>
      </c>
      <c r="G275" s="14" t="s">
        <v>191</v>
      </c>
      <c r="H275" s="13">
        <v>2.0</v>
      </c>
      <c r="I275" s="14" t="s">
        <v>42</v>
      </c>
      <c r="J275" s="15" t="s">
        <v>1222</v>
      </c>
      <c r="K275" s="14" t="str">
        <f t="shared" si="1"/>
        <v>06</v>
      </c>
      <c r="L275" s="14" t="s">
        <v>1223</v>
      </c>
      <c r="M275" s="14" t="s">
        <v>1237</v>
      </c>
      <c r="N275" s="14" t="s">
        <v>1238</v>
      </c>
      <c r="O275" s="16">
        <v>46289.0</v>
      </c>
      <c r="Q275" s="16">
        <v>46217.0</v>
      </c>
    </row>
    <row r="276">
      <c r="A276" s="13">
        <v>275.0</v>
      </c>
      <c r="B276" s="14" t="s">
        <v>638</v>
      </c>
      <c r="C276" s="14" t="s">
        <v>639</v>
      </c>
      <c r="D276" s="14" t="s">
        <v>640</v>
      </c>
      <c r="E276" s="14" t="s">
        <v>641</v>
      </c>
      <c r="F276" s="14" t="s">
        <v>40</v>
      </c>
      <c r="G276" s="14" t="s">
        <v>222</v>
      </c>
      <c r="H276" s="13">
        <v>2.0</v>
      </c>
      <c r="I276" s="14" t="s">
        <v>61</v>
      </c>
      <c r="J276" s="15" t="s">
        <v>1222</v>
      </c>
      <c r="K276" s="14" t="str">
        <f t="shared" si="1"/>
        <v>06</v>
      </c>
      <c r="L276" s="14" t="s">
        <v>1223</v>
      </c>
      <c r="M276" s="14" t="s">
        <v>1239</v>
      </c>
      <c r="N276" s="14" t="s">
        <v>1240</v>
      </c>
      <c r="O276" s="14" t="s">
        <v>64</v>
      </c>
      <c r="P276" s="14" t="s">
        <v>1241</v>
      </c>
      <c r="Q276" s="16">
        <v>46230.0</v>
      </c>
    </row>
    <row r="277">
      <c r="A277" s="13">
        <v>276.0</v>
      </c>
      <c r="B277" s="14" t="s">
        <v>286</v>
      </c>
      <c r="C277" s="14" t="s">
        <v>287</v>
      </c>
      <c r="D277" s="14" t="s">
        <v>288</v>
      </c>
      <c r="E277" s="14" t="s">
        <v>289</v>
      </c>
      <c r="F277" s="14" t="s">
        <v>162</v>
      </c>
      <c r="G277" s="14" t="s">
        <v>261</v>
      </c>
      <c r="H277" s="13">
        <v>2.0</v>
      </c>
      <c r="I277" s="14" t="s">
        <v>42</v>
      </c>
      <c r="J277" s="15" t="s">
        <v>1222</v>
      </c>
      <c r="K277" s="14" t="str">
        <f t="shared" si="1"/>
        <v>06</v>
      </c>
      <c r="L277" s="14" t="s">
        <v>1223</v>
      </c>
      <c r="M277" s="14" t="s">
        <v>1242</v>
      </c>
      <c r="N277" s="14" t="s">
        <v>1243</v>
      </c>
      <c r="O277" s="14" t="s">
        <v>64</v>
      </c>
      <c r="Q277" s="16">
        <v>46233.0</v>
      </c>
    </row>
    <row r="278">
      <c r="A278" s="13">
        <v>277.0</v>
      </c>
      <c r="B278" s="14" t="s">
        <v>302</v>
      </c>
      <c r="C278" s="14" t="s">
        <v>303</v>
      </c>
      <c r="D278" s="14" t="s">
        <v>304</v>
      </c>
      <c r="E278" s="14" t="s">
        <v>305</v>
      </c>
      <c r="F278" s="14" t="s">
        <v>162</v>
      </c>
      <c r="G278" s="14" t="s">
        <v>261</v>
      </c>
      <c r="H278" s="13">
        <v>2.0</v>
      </c>
      <c r="I278" s="14" t="s">
        <v>42</v>
      </c>
      <c r="J278" s="15" t="s">
        <v>1222</v>
      </c>
      <c r="K278" s="14" t="str">
        <f t="shared" si="1"/>
        <v>06</v>
      </c>
      <c r="L278" s="14" t="s">
        <v>1223</v>
      </c>
      <c r="M278" s="14" t="s">
        <v>1244</v>
      </c>
      <c r="N278" s="14" t="s">
        <v>1245</v>
      </c>
      <c r="O278" s="14" t="s">
        <v>64</v>
      </c>
      <c r="P278" s="14" t="s">
        <v>1246</v>
      </c>
      <c r="Q278" s="16">
        <v>46271.0</v>
      </c>
    </row>
    <row r="279">
      <c r="A279" s="13">
        <v>278.0</v>
      </c>
      <c r="B279" s="14" t="s">
        <v>310</v>
      </c>
      <c r="C279" s="14" t="s">
        <v>311</v>
      </c>
      <c r="D279" s="14" t="s">
        <v>313</v>
      </c>
      <c r="E279" s="14" t="s">
        <v>314</v>
      </c>
      <c r="F279" s="14" t="s">
        <v>162</v>
      </c>
      <c r="G279" s="14" t="s">
        <v>261</v>
      </c>
      <c r="H279" s="13">
        <v>2.0</v>
      </c>
      <c r="I279" s="14" t="s">
        <v>61</v>
      </c>
      <c r="J279" s="15" t="s">
        <v>1222</v>
      </c>
      <c r="K279" s="14" t="str">
        <f t="shared" si="1"/>
        <v>06</v>
      </c>
      <c r="L279" s="14" t="s">
        <v>1223</v>
      </c>
      <c r="M279" s="14" t="s">
        <v>1247</v>
      </c>
      <c r="N279" s="14" t="s">
        <v>1248</v>
      </c>
      <c r="O279" s="14" t="s">
        <v>64</v>
      </c>
      <c r="P279" s="14" t="s">
        <v>1249</v>
      </c>
      <c r="Q279" s="16">
        <v>46252.0</v>
      </c>
    </row>
    <row r="280">
      <c r="A280" s="13">
        <v>279.0</v>
      </c>
      <c r="B280" s="14" t="s">
        <v>48</v>
      </c>
      <c r="C280" s="14" t="s">
        <v>49</v>
      </c>
      <c r="D280" s="14" t="s">
        <v>50</v>
      </c>
      <c r="E280" s="14" t="s">
        <v>829</v>
      </c>
      <c r="F280" s="14" t="s">
        <v>489</v>
      </c>
      <c r="G280" s="14" t="s">
        <v>41</v>
      </c>
      <c r="H280" s="13">
        <v>2.0</v>
      </c>
      <c r="I280" s="14" t="s">
        <v>61</v>
      </c>
      <c r="J280" s="15" t="s">
        <v>1250</v>
      </c>
      <c r="K280" s="14" t="str">
        <f t="shared" si="1"/>
        <v>06</v>
      </c>
      <c r="L280" s="14" t="s">
        <v>1251</v>
      </c>
      <c r="M280" s="14" t="s">
        <v>1252</v>
      </c>
      <c r="N280" s="14" t="s">
        <v>1229</v>
      </c>
      <c r="O280" s="16">
        <v>46257.0</v>
      </c>
      <c r="P280" s="14" t="s">
        <v>1253</v>
      </c>
      <c r="Q280" s="16">
        <v>46226.0</v>
      </c>
    </row>
    <row r="281">
      <c r="A281" s="13">
        <v>280.0</v>
      </c>
      <c r="B281" s="14" t="s">
        <v>56</v>
      </c>
      <c r="C281" s="14" t="s">
        <v>57</v>
      </c>
      <c r="D281" s="14" t="s">
        <v>58</v>
      </c>
      <c r="E281" s="14" t="s">
        <v>59</v>
      </c>
      <c r="F281" s="14" t="s">
        <v>60</v>
      </c>
      <c r="G281" s="14" t="s">
        <v>41</v>
      </c>
      <c r="H281" s="13">
        <v>2.0</v>
      </c>
      <c r="I281" s="14" t="s">
        <v>61</v>
      </c>
      <c r="J281" s="15" t="s">
        <v>1250</v>
      </c>
      <c r="K281" s="14" t="str">
        <f t="shared" si="1"/>
        <v>06</v>
      </c>
      <c r="L281" s="14" t="s">
        <v>1251</v>
      </c>
      <c r="M281" s="14" t="s">
        <v>1254</v>
      </c>
      <c r="N281" s="14" t="s">
        <v>1255</v>
      </c>
      <c r="O281" s="14" t="s">
        <v>64</v>
      </c>
      <c r="P281" s="14" t="s">
        <v>1256</v>
      </c>
      <c r="Q281" s="16">
        <v>46188.0</v>
      </c>
    </row>
    <row r="282">
      <c r="A282" s="13">
        <v>281.0</v>
      </c>
      <c r="B282" s="14" t="s">
        <v>836</v>
      </c>
      <c r="C282" s="14" t="s">
        <v>837</v>
      </c>
      <c r="D282" s="14" t="s">
        <v>838</v>
      </c>
      <c r="E282" s="14" t="s">
        <v>839</v>
      </c>
      <c r="F282" s="14" t="s">
        <v>40</v>
      </c>
      <c r="G282" s="14" t="s">
        <v>41</v>
      </c>
      <c r="H282" s="13">
        <v>2.0</v>
      </c>
      <c r="I282" s="14" t="s">
        <v>42</v>
      </c>
      <c r="J282" s="15" t="s">
        <v>1250</v>
      </c>
      <c r="K282" s="14" t="str">
        <f t="shared" si="1"/>
        <v>06</v>
      </c>
      <c r="L282" s="14" t="s">
        <v>1251</v>
      </c>
      <c r="M282" s="14" t="s">
        <v>1257</v>
      </c>
      <c r="N282" s="14" t="s">
        <v>1258</v>
      </c>
      <c r="O282" s="16">
        <v>46265.0</v>
      </c>
      <c r="Q282" s="16">
        <v>46147.0</v>
      </c>
    </row>
    <row r="283">
      <c r="A283" s="13">
        <v>282.0</v>
      </c>
      <c r="B283" s="14" t="s">
        <v>1259</v>
      </c>
      <c r="C283" s="14" t="s">
        <v>1260</v>
      </c>
      <c r="D283" s="14" t="s">
        <v>1261</v>
      </c>
      <c r="E283" s="14" t="s">
        <v>1262</v>
      </c>
      <c r="F283" s="14" t="s">
        <v>40</v>
      </c>
      <c r="G283" s="14" t="s">
        <v>41</v>
      </c>
      <c r="H283" s="13">
        <v>2.0</v>
      </c>
      <c r="I283" s="14" t="s">
        <v>61</v>
      </c>
      <c r="J283" s="15" t="s">
        <v>1250</v>
      </c>
      <c r="K283" s="14" t="str">
        <f t="shared" si="1"/>
        <v>06</v>
      </c>
      <c r="L283" s="14" t="s">
        <v>1251</v>
      </c>
      <c r="M283" s="14" t="s">
        <v>1263</v>
      </c>
      <c r="N283" s="14" t="s">
        <v>1264</v>
      </c>
      <c r="O283" s="16">
        <v>46197.0</v>
      </c>
      <c r="P283" s="14" t="s">
        <v>1265</v>
      </c>
      <c r="Q283" s="16">
        <v>46163.0</v>
      </c>
    </row>
    <row r="284">
      <c r="A284" s="13">
        <v>283.0</v>
      </c>
      <c r="B284" s="14" t="s">
        <v>601</v>
      </c>
      <c r="C284" s="14" t="s">
        <v>602</v>
      </c>
      <c r="D284" s="14" t="s">
        <v>603</v>
      </c>
      <c r="E284" s="14" t="s">
        <v>604</v>
      </c>
      <c r="F284" s="14" t="s">
        <v>40</v>
      </c>
      <c r="G284" s="14" t="s">
        <v>109</v>
      </c>
      <c r="H284" s="13">
        <v>2.0</v>
      </c>
      <c r="I284" s="14" t="s">
        <v>61</v>
      </c>
      <c r="J284" s="15" t="s">
        <v>1250</v>
      </c>
      <c r="K284" s="14" t="str">
        <f t="shared" si="1"/>
        <v>06</v>
      </c>
      <c r="L284" s="14" t="s">
        <v>1251</v>
      </c>
      <c r="M284" s="14" t="s">
        <v>1266</v>
      </c>
      <c r="N284" s="14" t="s">
        <v>1267</v>
      </c>
      <c r="O284" s="14" t="s">
        <v>64</v>
      </c>
      <c r="P284" s="14" t="s">
        <v>1268</v>
      </c>
      <c r="Q284" s="16">
        <v>46161.0</v>
      </c>
    </row>
    <row r="285">
      <c r="A285" s="13">
        <v>284.0</v>
      </c>
      <c r="B285" s="14" t="s">
        <v>697</v>
      </c>
      <c r="C285" s="14" t="s">
        <v>698</v>
      </c>
      <c r="D285" s="14" t="s">
        <v>699</v>
      </c>
      <c r="E285" s="14" t="s">
        <v>700</v>
      </c>
      <c r="F285" s="14" t="s">
        <v>489</v>
      </c>
      <c r="G285" s="14" t="s">
        <v>109</v>
      </c>
      <c r="H285" s="13">
        <v>2.0</v>
      </c>
      <c r="I285" s="14" t="s">
        <v>61</v>
      </c>
      <c r="J285" s="15" t="s">
        <v>1250</v>
      </c>
      <c r="K285" s="14" t="str">
        <f t="shared" si="1"/>
        <v>06</v>
      </c>
      <c r="L285" s="14" t="s">
        <v>1251</v>
      </c>
      <c r="M285" s="14" t="s">
        <v>1269</v>
      </c>
      <c r="N285" s="14" t="s">
        <v>1270</v>
      </c>
      <c r="O285" s="14" t="s">
        <v>64</v>
      </c>
      <c r="P285" s="14" t="s">
        <v>1271</v>
      </c>
      <c r="Q285" s="16">
        <v>46188.0</v>
      </c>
    </row>
    <row r="286">
      <c r="A286" s="13">
        <v>285.0</v>
      </c>
      <c r="B286" s="14" t="s">
        <v>615</v>
      </c>
      <c r="C286" s="14" t="s">
        <v>616</v>
      </c>
      <c r="D286" s="14" t="s">
        <v>617</v>
      </c>
      <c r="E286" s="14" t="s">
        <v>618</v>
      </c>
      <c r="F286" s="14" t="s">
        <v>40</v>
      </c>
      <c r="G286" s="14" t="s">
        <v>109</v>
      </c>
      <c r="H286" s="13">
        <v>2.0</v>
      </c>
      <c r="I286" s="14" t="s">
        <v>61</v>
      </c>
      <c r="J286" s="15" t="s">
        <v>1250</v>
      </c>
      <c r="K286" s="14" t="str">
        <f t="shared" si="1"/>
        <v>06</v>
      </c>
      <c r="L286" s="14" t="s">
        <v>1251</v>
      </c>
      <c r="M286" s="14" t="s">
        <v>1272</v>
      </c>
      <c r="N286" s="14" t="s">
        <v>1273</v>
      </c>
      <c r="O286" s="16">
        <v>46234.0</v>
      </c>
      <c r="P286" s="14" t="s">
        <v>1274</v>
      </c>
      <c r="Q286" s="16">
        <v>46161.0</v>
      </c>
    </row>
    <row r="287">
      <c r="A287" s="13">
        <v>286.0</v>
      </c>
      <c r="B287" s="14" t="s">
        <v>365</v>
      </c>
      <c r="C287" s="14" t="s">
        <v>366</v>
      </c>
      <c r="D287" s="14" t="s">
        <v>368</v>
      </c>
      <c r="E287" s="14" t="s">
        <v>369</v>
      </c>
      <c r="F287" s="14" t="s">
        <v>40</v>
      </c>
      <c r="G287" s="14" t="s">
        <v>109</v>
      </c>
      <c r="H287" s="13">
        <v>2.0</v>
      </c>
      <c r="I287" s="14" t="s">
        <v>42</v>
      </c>
      <c r="J287" s="15" t="s">
        <v>1250</v>
      </c>
      <c r="K287" s="14" t="str">
        <f t="shared" si="1"/>
        <v>06</v>
      </c>
      <c r="L287" s="14" t="s">
        <v>1251</v>
      </c>
      <c r="M287" s="14" t="s">
        <v>1275</v>
      </c>
      <c r="N287" s="14" t="s">
        <v>1276</v>
      </c>
      <c r="O287" s="16">
        <v>46285.0</v>
      </c>
      <c r="Q287" s="16">
        <v>46162.0</v>
      </c>
    </row>
    <row r="288">
      <c r="A288" s="13">
        <v>287.0</v>
      </c>
      <c r="B288" s="14" t="s">
        <v>120</v>
      </c>
      <c r="C288" s="14" t="s">
        <v>121</v>
      </c>
      <c r="D288" s="14" t="s">
        <v>122</v>
      </c>
      <c r="E288" s="14" t="s">
        <v>1085</v>
      </c>
      <c r="F288" s="14" t="s">
        <v>489</v>
      </c>
      <c r="G288" s="14" t="s">
        <v>124</v>
      </c>
      <c r="H288" s="13">
        <v>2.0</v>
      </c>
      <c r="I288" s="14" t="s">
        <v>61</v>
      </c>
      <c r="J288" s="15" t="s">
        <v>1250</v>
      </c>
      <c r="K288" s="14" t="str">
        <f t="shared" si="1"/>
        <v>06</v>
      </c>
      <c r="L288" s="14" t="s">
        <v>1251</v>
      </c>
      <c r="M288" s="14" t="s">
        <v>1277</v>
      </c>
      <c r="N288" s="14" t="s">
        <v>1278</v>
      </c>
      <c r="O288" s="16">
        <v>46304.0</v>
      </c>
      <c r="P288" s="14" t="s">
        <v>1279</v>
      </c>
      <c r="Q288" s="16">
        <v>46234.0</v>
      </c>
    </row>
    <row r="289">
      <c r="A289" s="13">
        <v>288.0</v>
      </c>
      <c r="B289" s="14" t="s">
        <v>129</v>
      </c>
      <c r="C289" s="14" t="s">
        <v>130</v>
      </c>
      <c r="D289" s="14" t="s">
        <v>131</v>
      </c>
      <c r="E289" s="14" t="s">
        <v>132</v>
      </c>
      <c r="F289" s="14" t="s">
        <v>40</v>
      </c>
      <c r="G289" s="14" t="s">
        <v>124</v>
      </c>
      <c r="H289" s="13">
        <v>2.0</v>
      </c>
      <c r="I289" s="14" t="s">
        <v>42</v>
      </c>
      <c r="J289" s="15" t="s">
        <v>1250</v>
      </c>
      <c r="K289" s="14" t="str">
        <f t="shared" si="1"/>
        <v>06</v>
      </c>
      <c r="L289" s="14" t="s">
        <v>1251</v>
      </c>
      <c r="M289" s="14" t="s">
        <v>1280</v>
      </c>
      <c r="N289" s="14" t="s">
        <v>1281</v>
      </c>
      <c r="O289" s="16">
        <v>46285.0</v>
      </c>
      <c r="Q289" s="16">
        <v>46175.0</v>
      </c>
    </row>
    <row r="290">
      <c r="A290" s="13">
        <v>289.0</v>
      </c>
      <c r="B290" s="14" t="s">
        <v>557</v>
      </c>
      <c r="C290" s="14" t="s">
        <v>558</v>
      </c>
      <c r="D290" s="14" t="s">
        <v>559</v>
      </c>
      <c r="E290" s="14" t="s">
        <v>560</v>
      </c>
      <c r="F290" s="14" t="s">
        <v>40</v>
      </c>
      <c r="G290" s="14" t="s">
        <v>124</v>
      </c>
      <c r="H290" s="13">
        <v>2.0</v>
      </c>
      <c r="I290" s="14" t="s">
        <v>42</v>
      </c>
      <c r="J290" s="15" t="s">
        <v>1250</v>
      </c>
      <c r="K290" s="14" t="str">
        <f t="shared" si="1"/>
        <v>06</v>
      </c>
      <c r="L290" s="14" t="s">
        <v>1251</v>
      </c>
      <c r="M290" s="14" t="s">
        <v>1282</v>
      </c>
      <c r="N290" s="14" t="s">
        <v>1283</v>
      </c>
      <c r="O290" s="16">
        <v>46284.0</v>
      </c>
      <c r="Q290" s="16">
        <v>46175.0</v>
      </c>
    </row>
    <row r="291">
      <c r="A291" s="13">
        <v>290.0</v>
      </c>
      <c r="B291" s="14" t="s">
        <v>135</v>
      </c>
      <c r="C291" s="14" t="s">
        <v>136</v>
      </c>
      <c r="D291" s="14" t="s">
        <v>137</v>
      </c>
      <c r="E291" s="14" t="s">
        <v>138</v>
      </c>
      <c r="F291" s="14" t="s">
        <v>40</v>
      </c>
      <c r="G291" s="14" t="s">
        <v>124</v>
      </c>
      <c r="H291" s="13">
        <v>2.0</v>
      </c>
      <c r="I291" s="14" t="s">
        <v>61</v>
      </c>
      <c r="J291" s="15" t="s">
        <v>1250</v>
      </c>
      <c r="K291" s="14" t="str">
        <f t="shared" si="1"/>
        <v>06</v>
      </c>
      <c r="L291" s="14" t="s">
        <v>1251</v>
      </c>
      <c r="M291" s="14" t="s">
        <v>1284</v>
      </c>
      <c r="N291" s="14" t="s">
        <v>1285</v>
      </c>
      <c r="O291" s="16">
        <v>46304.0</v>
      </c>
      <c r="P291" s="14" t="s">
        <v>1286</v>
      </c>
      <c r="Q291" s="16">
        <v>46233.0</v>
      </c>
    </row>
    <row r="292">
      <c r="A292" s="13">
        <v>291.0</v>
      </c>
      <c r="B292" s="14" t="s">
        <v>1287</v>
      </c>
      <c r="C292" s="14" t="s">
        <v>1288</v>
      </c>
      <c r="D292" s="14" t="s">
        <v>1289</v>
      </c>
      <c r="E292" s="14" t="s">
        <v>1290</v>
      </c>
      <c r="F292" s="14" t="s">
        <v>40</v>
      </c>
      <c r="G292" s="14" t="s">
        <v>146</v>
      </c>
      <c r="H292" s="13">
        <v>2.0</v>
      </c>
      <c r="I292" s="14" t="s">
        <v>61</v>
      </c>
      <c r="J292" s="15" t="s">
        <v>1250</v>
      </c>
      <c r="K292" s="14" t="str">
        <f t="shared" si="1"/>
        <v>06</v>
      </c>
      <c r="L292" s="14" t="s">
        <v>1251</v>
      </c>
      <c r="M292" s="14" t="s">
        <v>1291</v>
      </c>
      <c r="N292" s="14" t="s">
        <v>1292</v>
      </c>
      <c r="O292" s="14" t="s">
        <v>64</v>
      </c>
      <c r="P292" s="14" t="s">
        <v>1293</v>
      </c>
      <c r="Q292" s="16">
        <v>46244.0</v>
      </c>
    </row>
    <row r="293">
      <c r="A293" s="13">
        <v>292.0</v>
      </c>
      <c r="B293" s="14" t="s">
        <v>659</v>
      </c>
      <c r="C293" s="14" t="s">
        <v>660</v>
      </c>
      <c r="D293" s="14" t="s">
        <v>661</v>
      </c>
      <c r="E293" s="14" t="s">
        <v>662</v>
      </c>
      <c r="F293" s="14" t="s">
        <v>40</v>
      </c>
      <c r="G293" s="14" t="s">
        <v>146</v>
      </c>
      <c r="H293" s="13">
        <v>2.0</v>
      </c>
      <c r="I293" s="14" t="s">
        <v>61</v>
      </c>
      <c r="J293" s="15" t="s">
        <v>1250</v>
      </c>
      <c r="K293" s="14" t="str">
        <f t="shared" si="1"/>
        <v>06</v>
      </c>
      <c r="L293" s="14" t="s">
        <v>1251</v>
      </c>
      <c r="M293" s="14" t="s">
        <v>1294</v>
      </c>
      <c r="N293" s="14" t="s">
        <v>1295</v>
      </c>
      <c r="O293" s="14" t="s">
        <v>64</v>
      </c>
      <c r="P293" s="14" t="s">
        <v>1296</v>
      </c>
      <c r="Q293" s="16">
        <v>46266.0</v>
      </c>
    </row>
    <row r="294">
      <c r="A294" s="13">
        <v>293.0</v>
      </c>
      <c r="B294" s="14" t="s">
        <v>511</v>
      </c>
      <c r="C294" s="14" t="s">
        <v>512</v>
      </c>
      <c r="D294" s="14" t="s">
        <v>513</v>
      </c>
      <c r="E294" s="14" t="s">
        <v>514</v>
      </c>
      <c r="F294" s="14" t="s">
        <v>40</v>
      </c>
      <c r="G294" s="14" t="s">
        <v>146</v>
      </c>
      <c r="H294" s="13">
        <v>2.0</v>
      </c>
      <c r="I294" s="14" t="s">
        <v>61</v>
      </c>
      <c r="J294" s="15" t="s">
        <v>1250</v>
      </c>
      <c r="K294" s="14" t="str">
        <f t="shared" si="1"/>
        <v>06</v>
      </c>
      <c r="L294" s="14" t="s">
        <v>1251</v>
      </c>
      <c r="M294" s="14" t="s">
        <v>1297</v>
      </c>
      <c r="N294" s="14" t="s">
        <v>1298</v>
      </c>
      <c r="O294" s="14" t="s">
        <v>64</v>
      </c>
      <c r="P294" s="14" t="s">
        <v>1299</v>
      </c>
      <c r="Q294" s="16">
        <v>46217.0</v>
      </c>
    </row>
    <row r="295">
      <c r="A295" s="13">
        <v>294.0</v>
      </c>
      <c r="B295" s="14" t="s">
        <v>900</v>
      </c>
      <c r="C295" s="14" t="s">
        <v>901</v>
      </c>
      <c r="D295" s="14" t="s">
        <v>902</v>
      </c>
      <c r="E295" s="14" t="s">
        <v>903</v>
      </c>
      <c r="F295" s="14" t="s">
        <v>40</v>
      </c>
      <c r="G295" s="14" t="s">
        <v>146</v>
      </c>
      <c r="H295" s="13">
        <v>2.0</v>
      </c>
      <c r="I295" s="14" t="s">
        <v>61</v>
      </c>
      <c r="J295" s="15" t="s">
        <v>1250</v>
      </c>
      <c r="K295" s="14" t="str">
        <f t="shared" si="1"/>
        <v>06</v>
      </c>
      <c r="L295" s="14" t="s">
        <v>1251</v>
      </c>
      <c r="M295" s="14" t="s">
        <v>1300</v>
      </c>
      <c r="N295" s="14" t="s">
        <v>1301</v>
      </c>
      <c r="O295" s="16">
        <v>46305.0</v>
      </c>
      <c r="P295" s="14" t="s">
        <v>1302</v>
      </c>
      <c r="Q295" s="16">
        <v>46273.0</v>
      </c>
    </row>
    <row r="296">
      <c r="A296" s="13">
        <v>295.0</v>
      </c>
      <c r="B296" s="14" t="s">
        <v>1203</v>
      </c>
      <c r="C296" s="14" t="s">
        <v>1204</v>
      </c>
      <c r="D296" s="14" t="s">
        <v>1205</v>
      </c>
      <c r="E296" s="14" t="s">
        <v>1206</v>
      </c>
      <c r="F296" s="14" t="s">
        <v>40</v>
      </c>
      <c r="G296" s="14" t="s">
        <v>191</v>
      </c>
      <c r="H296" s="13">
        <v>2.0</v>
      </c>
      <c r="I296" s="14" t="s">
        <v>61</v>
      </c>
      <c r="J296" s="15" t="s">
        <v>1250</v>
      </c>
      <c r="K296" s="14" t="str">
        <f t="shared" si="1"/>
        <v>06</v>
      </c>
      <c r="L296" s="14" t="s">
        <v>1251</v>
      </c>
      <c r="M296" s="14" t="s">
        <v>1303</v>
      </c>
      <c r="N296" s="14" t="s">
        <v>1210</v>
      </c>
      <c r="O296" s="14" t="s">
        <v>64</v>
      </c>
      <c r="P296" s="14" t="s">
        <v>1304</v>
      </c>
      <c r="Q296" s="16">
        <v>46221.0</v>
      </c>
    </row>
    <row r="297">
      <c r="A297" s="13">
        <v>296.0</v>
      </c>
      <c r="B297" s="14" t="s">
        <v>196</v>
      </c>
      <c r="C297" s="14" t="s">
        <v>197</v>
      </c>
      <c r="D297" s="14" t="s">
        <v>198</v>
      </c>
      <c r="E297" s="14" t="s">
        <v>734</v>
      </c>
      <c r="F297" s="14" t="s">
        <v>527</v>
      </c>
      <c r="G297" s="14" t="s">
        <v>191</v>
      </c>
      <c r="H297" s="13">
        <v>2.0</v>
      </c>
      <c r="I297" s="14" t="s">
        <v>42</v>
      </c>
      <c r="J297" s="15" t="s">
        <v>1250</v>
      </c>
      <c r="K297" s="14" t="str">
        <f t="shared" si="1"/>
        <v>06</v>
      </c>
      <c r="L297" s="14" t="s">
        <v>1251</v>
      </c>
      <c r="M297" s="14" t="s">
        <v>1305</v>
      </c>
      <c r="N297" s="14" t="s">
        <v>1238</v>
      </c>
      <c r="O297" s="16">
        <v>46289.0</v>
      </c>
      <c r="Q297" s="16">
        <v>46217.0</v>
      </c>
    </row>
    <row r="298">
      <c r="A298" s="13">
        <v>297.0</v>
      </c>
      <c r="B298" s="14" t="s">
        <v>246</v>
      </c>
      <c r="C298" s="14" t="s">
        <v>247</v>
      </c>
      <c r="D298" s="14" t="s">
        <v>248</v>
      </c>
      <c r="E298" s="14" t="s">
        <v>526</v>
      </c>
      <c r="F298" s="14" t="s">
        <v>527</v>
      </c>
      <c r="G298" s="14" t="s">
        <v>222</v>
      </c>
      <c r="H298" s="13">
        <v>2.0</v>
      </c>
      <c r="I298" s="14" t="s">
        <v>42</v>
      </c>
      <c r="J298" s="15" t="s">
        <v>1250</v>
      </c>
      <c r="K298" s="14" t="str">
        <f t="shared" si="1"/>
        <v>06</v>
      </c>
      <c r="L298" s="14" t="s">
        <v>1251</v>
      </c>
      <c r="M298" s="14" t="s">
        <v>1306</v>
      </c>
      <c r="N298" s="14" t="s">
        <v>1307</v>
      </c>
      <c r="O298" s="16">
        <v>46291.0</v>
      </c>
      <c r="P298" s="14" t="s">
        <v>1308</v>
      </c>
      <c r="Q298" s="16">
        <v>46230.0</v>
      </c>
    </row>
    <row r="299">
      <c r="A299" s="13">
        <v>298.0</v>
      </c>
      <c r="B299" s="14" t="s">
        <v>246</v>
      </c>
      <c r="C299" s="14" t="s">
        <v>247</v>
      </c>
      <c r="D299" s="14" t="s">
        <v>248</v>
      </c>
      <c r="E299" s="14" t="s">
        <v>253</v>
      </c>
      <c r="F299" s="14" t="s">
        <v>40</v>
      </c>
      <c r="G299" s="14" t="s">
        <v>222</v>
      </c>
      <c r="H299" s="13">
        <v>2.0</v>
      </c>
      <c r="I299" s="14" t="s">
        <v>42</v>
      </c>
      <c r="J299" s="15" t="s">
        <v>1250</v>
      </c>
      <c r="K299" s="14" t="str">
        <f t="shared" si="1"/>
        <v>06</v>
      </c>
      <c r="L299" s="14" t="s">
        <v>1251</v>
      </c>
      <c r="M299" s="14" t="s">
        <v>1309</v>
      </c>
      <c r="N299" s="14" t="s">
        <v>1310</v>
      </c>
      <c r="O299" s="16">
        <v>46290.0</v>
      </c>
      <c r="Q299" s="16">
        <v>46230.0</v>
      </c>
    </row>
    <row r="300">
      <c r="A300" s="13">
        <v>299.0</v>
      </c>
      <c r="B300" s="14" t="s">
        <v>520</v>
      </c>
      <c r="C300" s="14" t="s">
        <v>521</v>
      </c>
      <c r="D300" s="14" t="s">
        <v>522</v>
      </c>
      <c r="E300" s="14" t="s">
        <v>523</v>
      </c>
      <c r="F300" s="14" t="s">
        <v>40</v>
      </c>
      <c r="G300" s="14" t="s">
        <v>261</v>
      </c>
      <c r="H300" s="13">
        <v>2.0</v>
      </c>
      <c r="I300" s="14" t="s">
        <v>42</v>
      </c>
      <c r="J300" s="15" t="s">
        <v>1250</v>
      </c>
      <c r="K300" s="14" t="str">
        <f t="shared" si="1"/>
        <v>06</v>
      </c>
      <c r="L300" s="14" t="s">
        <v>1251</v>
      </c>
      <c r="M300" s="14" t="s">
        <v>1311</v>
      </c>
      <c r="N300" s="14" t="s">
        <v>1312</v>
      </c>
      <c r="O300" s="16">
        <v>46316.0</v>
      </c>
      <c r="Q300" s="16">
        <v>46232.0</v>
      </c>
    </row>
    <row r="301">
      <c r="A301" s="13">
        <v>300.0</v>
      </c>
      <c r="B301" s="14" t="s">
        <v>647</v>
      </c>
      <c r="C301" s="14" t="s">
        <v>648</v>
      </c>
      <c r="D301" s="14" t="s">
        <v>649</v>
      </c>
      <c r="E301" s="14" t="s">
        <v>650</v>
      </c>
      <c r="F301" s="14" t="s">
        <v>40</v>
      </c>
      <c r="G301" s="14" t="s">
        <v>261</v>
      </c>
      <c r="H301" s="13">
        <v>2.0</v>
      </c>
      <c r="I301" s="14" t="s">
        <v>42</v>
      </c>
      <c r="J301" s="15" t="s">
        <v>1250</v>
      </c>
      <c r="K301" s="14" t="str">
        <f t="shared" si="1"/>
        <v>06</v>
      </c>
      <c r="L301" s="14" t="s">
        <v>1251</v>
      </c>
      <c r="M301" s="14" t="s">
        <v>1313</v>
      </c>
      <c r="N301" s="14" t="s">
        <v>1314</v>
      </c>
      <c r="O301" s="16">
        <v>46316.0</v>
      </c>
      <c r="P301" s="14" t="s">
        <v>1315</v>
      </c>
      <c r="Q301" s="16">
        <v>46232.0</v>
      </c>
    </row>
    <row r="302">
      <c r="A302" s="13">
        <v>301.0</v>
      </c>
      <c r="B302" s="14" t="s">
        <v>601</v>
      </c>
      <c r="C302" s="14" t="s">
        <v>602</v>
      </c>
      <c r="D302" s="14" t="s">
        <v>603</v>
      </c>
      <c r="E302" s="14" t="s">
        <v>604</v>
      </c>
      <c r="F302" s="14" t="s">
        <v>40</v>
      </c>
      <c r="G302" s="14" t="s">
        <v>109</v>
      </c>
      <c r="H302" s="13">
        <v>3.0</v>
      </c>
      <c r="I302" s="14" t="s">
        <v>61</v>
      </c>
      <c r="J302" s="15" t="s">
        <v>1316</v>
      </c>
      <c r="K302" s="14" t="str">
        <f t="shared" si="1"/>
        <v>01</v>
      </c>
      <c r="L302" s="14" t="s">
        <v>1317</v>
      </c>
      <c r="M302" s="14" t="s">
        <v>1318</v>
      </c>
      <c r="N302" s="14" t="s">
        <v>1319</v>
      </c>
      <c r="O302" s="14" t="s">
        <v>64</v>
      </c>
      <c r="P302" s="14" t="s">
        <v>1320</v>
      </c>
      <c r="Q302" s="16">
        <v>46161.0</v>
      </c>
    </row>
    <row r="303">
      <c r="A303" s="13">
        <v>302.0</v>
      </c>
      <c r="B303" s="14" t="s">
        <v>120</v>
      </c>
      <c r="C303" s="14" t="s">
        <v>121</v>
      </c>
      <c r="D303" s="14" t="s">
        <v>122</v>
      </c>
      <c r="E303" s="14" t="s">
        <v>123</v>
      </c>
      <c r="F303" s="14" t="s">
        <v>40</v>
      </c>
      <c r="G303" s="14" t="s">
        <v>124</v>
      </c>
      <c r="H303" s="13">
        <v>3.0</v>
      </c>
      <c r="I303" s="14" t="s">
        <v>61</v>
      </c>
      <c r="J303" s="15" t="s">
        <v>1316</v>
      </c>
      <c r="K303" s="14" t="str">
        <f t="shared" si="1"/>
        <v>01</v>
      </c>
      <c r="L303" s="14" t="s">
        <v>1317</v>
      </c>
      <c r="M303" s="14" t="s">
        <v>1321</v>
      </c>
      <c r="N303" s="14" t="s">
        <v>127</v>
      </c>
      <c r="O303" s="16">
        <v>46283.0</v>
      </c>
      <c r="P303" s="14" t="s">
        <v>1322</v>
      </c>
      <c r="Q303" s="16">
        <v>46252.0</v>
      </c>
    </row>
    <row r="304">
      <c r="A304" s="13">
        <v>303.0</v>
      </c>
      <c r="B304" s="14" t="s">
        <v>1097</v>
      </c>
      <c r="C304" s="14" t="s">
        <v>1098</v>
      </c>
      <c r="D304" s="14" t="s">
        <v>1099</v>
      </c>
      <c r="E304" s="14" t="s">
        <v>1100</v>
      </c>
      <c r="F304" s="14" t="s">
        <v>551</v>
      </c>
      <c r="G304" s="14" t="s">
        <v>146</v>
      </c>
      <c r="H304" s="13">
        <v>3.0</v>
      </c>
      <c r="I304" s="14" t="s">
        <v>61</v>
      </c>
      <c r="J304" s="15" t="s">
        <v>1316</v>
      </c>
      <c r="K304" s="14" t="str">
        <f t="shared" si="1"/>
        <v>01</v>
      </c>
      <c r="L304" s="14" t="s">
        <v>1317</v>
      </c>
      <c r="M304" s="14" t="s">
        <v>1323</v>
      </c>
      <c r="N304" s="14" t="s">
        <v>1324</v>
      </c>
      <c r="O304" s="14" t="s">
        <v>64</v>
      </c>
      <c r="P304" s="14" t="s">
        <v>1325</v>
      </c>
      <c r="Q304" s="16">
        <v>46196.0</v>
      </c>
    </row>
    <row r="305">
      <c r="A305" s="13">
        <v>304.0</v>
      </c>
      <c r="B305" s="14" t="s">
        <v>1326</v>
      </c>
      <c r="C305" s="14" t="s">
        <v>1098</v>
      </c>
      <c r="D305" s="14" t="s">
        <v>1099</v>
      </c>
      <c r="E305" s="14" t="s">
        <v>1327</v>
      </c>
      <c r="F305" s="14" t="s">
        <v>60</v>
      </c>
      <c r="G305" s="14" t="s">
        <v>146</v>
      </c>
      <c r="H305" s="13">
        <v>3.0</v>
      </c>
      <c r="I305" s="14" t="s">
        <v>61</v>
      </c>
      <c r="J305" s="15" t="s">
        <v>1316</v>
      </c>
      <c r="K305" s="14" t="str">
        <f t="shared" si="1"/>
        <v>01</v>
      </c>
      <c r="L305" s="14" t="s">
        <v>1317</v>
      </c>
      <c r="M305" s="14" t="s">
        <v>1328</v>
      </c>
      <c r="N305" s="14" t="s">
        <v>1329</v>
      </c>
      <c r="O305" s="16">
        <v>46286.0</v>
      </c>
      <c r="P305" s="14" t="s">
        <v>1330</v>
      </c>
      <c r="Q305" s="16">
        <v>46262.0</v>
      </c>
    </row>
    <row r="306">
      <c r="A306" s="13">
        <v>305.0</v>
      </c>
      <c r="B306" s="14" t="s">
        <v>1331</v>
      </c>
      <c r="C306" s="14" t="s">
        <v>1332</v>
      </c>
      <c r="D306" s="14" t="s">
        <v>1333</v>
      </c>
      <c r="E306" s="14" t="s">
        <v>1334</v>
      </c>
      <c r="F306" s="14" t="s">
        <v>178</v>
      </c>
      <c r="G306" s="14" t="s">
        <v>146</v>
      </c>
      <c r="H306" s="13">
        <v>3.0</v>
      </c>
      <c r="I306" s="14" t="s">
        <v>61</v>
      </c>
      <c r="J306" s="15" t="s">
        <v>1316</v>
      </c>
      <c r="K306" s="14" t="str">
        <f t="shared" si="1"/>
        <v>01</v>
      </c>
      <c r="L306" s="14" t="s">
        <v>1317</v>
      </c>
      <c r="M306" s="14" t="s">
        <v>1335</v>
      </c>
      <c r="N306" s="14" t="s">
        <v>1336</v>
      </c>
      <c r="O306" s="14" t="s">
        <v>64</v>
      </c>
      <c r="P306" s="14" t="s">
        <v>1337</v>
      </c>
      <c r="Q306" s="16">
        <v>46213.0</v>
      </c>
    </row>
    <row r="307">
      <c r="A307" s="13">
        <v>306.0</v>
      </c>
      <c r="B307" s="14" t="s">
        <v>1338</v>
      </c>
      <c r="C307" s="14" t="s">
        <v>1339</v>
      </c>
      <c r="D307" s="14" t="s">
        <v>1340</v>
      </c>
      <c r="E307" s="14" t="s">
        <v>1341</v>
      </c>
      <c r="F307" s="14" t="s">
        <v>178</v>
      </c>
      <c r="G307" s="14" t="s">
        <v>146</v>
      </c>
      <c r="H307" s="13">
        <v>3.0</v>
      </c>
      <c r="I307" s="14" t="s">
        <v>61</v>
      </c>
      <c r="J307" s="15" t="s">
        <v>1316</v>
      </c>
      <c r="K307" s="14" t="str">
        <f t="shared" si="1"/>
        <v>01</v>
      </c>
      <c r="L307" s="14" t="s">
        <v>1317</v>
      </c>
      <c r="M307" s="14" t="s">
        <v>1342</v>
      </c>
      <c r="N307" s="14" t="s">
        <v>1343</v>
      </c>
      <c r="O307" s="14" t="s">
        <v>64</v>
      </c>
      <c r="P307" s="14" t="s">
        <v>1344</v>
      </c>
      <c r="Q307" s="16">
        <v>46241.0</v>
      </c>
    </row>
    <row r="308">
      <c r="A308" s="13">
        <v>307.0</v>
      </c>
      <c r="B308" s="14" t="s">
        <v>715</v>
      </c>
      <c r="C308" s="14" t="s">
        <v>716</v>
      </c>
      <c r="D308" s="14" t="s">
        <v>717</v>
      </c>
      <c r="E308" s="14" t="s">
        <v>718</v>
      </c>
      <c r="F308" s="14" t="s">
        <v>178</v>
      </c>
      <c r="G308" s="14" t="s">
        <v>146</v>
      </c>
      <c r="H308" s="13">
        <v>3.0</v>
      </c>
      <c r="I308" s="14" t="s">
        <v>42</v>
      </c>
      <c r="J308" s="15" t="s">
        <v>1316</v>
      </c>
      <c r="K308" s="14" t="str">
        <f t="shared" si="1"/>
        <v>01</v>
      </c>
      <c r="L308" s="14" t="s">
        <v>1317</v>
      </c>
      <c r="M308" s="14" t="s">
        <v>1345</v>
      </c>
      <c r="N308" s="14" t="s">
        <v>1346</v>
      </c>
      <c r="O308" s="16">
        <v>46304.0</v>
      </c>
      <c r="Q308" s="16">
        <v>46205.0</v>
      </c>
    </row>
    <row r="309">
      <c r="A309" s="13">
        <v>308.0</v>
      </c>
      <c r="B309" s="14" t="s">
        <v>625</v>
      </c>
      <c r="C309" s="14" t="s">
        <v>626</v>
      </c>
      <c r="D309" s="14" t="s">
        <v>627</v>
      </c>
      <c r="E309" s="14" t="s">
        <v>628</v>
      </c>
      <c r="F309" s="14" t="s">
        <v>60</v>
      </c>
      <c r="G309" s="14" t="s">
        <v>191</v>
      </c>
      <c r="H309" s="13">
        <v>3.0</v>
      </c>
      <c r="I309" s="14" t="s">
        <v>61</v>
      </c>
      <c r="J309" s="15" t="s">
        <v>1316</v>
      </c>
      <c r="K309" s="14" t="str">
        <f t="shared" si="1"/>
        <v>01</v>
      </c>
      <c r="L309" s="14" t="s">
        <v>1317</v>
      </c>
      <c r="M309" s="14" t="s">
        <v>1347</v>
      </c>
      <c r="N309" s="14" t="s">
        <v>1348</v>
      </c>
      <c r="O309" s="14" t="s">
        <v>64</v>
      </c>
      <c r="P309" s="14" t="s">
        <v>1349</v>
      </c>
      <c r="Q309" s="16">
        <v>46220.0</v>
      </c>
    </row>
    <row r="310">
      <c r="A310" s="13">
        <v>309.0</v>
      </c>
      <c r="B310" s="14" t="s">
        <v>1350</v>
      </c>
      <c r="C310" s="14" t="s">
        <v>1351</v>
      </c>
      <c r="D310" s="14" t="s">
        <v>1352</v>
      </c>
      <c r="E310" s="14" t="s">
        <v>1353</v>
      </c>
      <c r="F310" s="14" t="s">
        <v>154</v>
      </c>
      <c r="G310" s="14" t="s">
        <v>191</v>
      </c>
      <c r="H310" s="13">
        <v>3.0</v>
      </c>
      <c r="I310" s="14" t="s">
        <v>61</v>
      </c>
      <c r="J310" s="15" t="s">
        <v>1316</v>
      </c>
      <c r="K310" s="14" t="str">
        <f t="shared" si="1"/>
        <v>01</v>
      </c>
      <c r="L310" s="14" t="s">
        <v>1317</v>
      </c>
      <c r="M310" s="14" t="s">
        <v>1354</v>
      </c>
      <c r="N310" s="14" t="s">
        <v>1355</v>
      </c>
      <c r="O310" s="16">
        <v>46290.0</v>
      </c>
      <c r="P310" s="14" t="s">
        <v>1356</v>
      </c>
      <c r="Q310" s="16">
        <v>46280.0</v>
      </c>
    </row>
    <row r="311">
      <c r="A311" s="13">
        <v>310.0</v>
      </c>
      <c r="B311" s="14" t="s">
        <v>398</v>
      </c>
      <c r="C311" s="14" t="s">
        <v>399</v>
      </c>
      <c r="D311" s="14" t="s">
        <v>400</v>
      </c>
      <c r="E311" s="14" t="s">
        <v>401</v>
      </c>
      <c r="F311" s="14" t="s">
        <v>40</v>
      </c>
      <c r="G311" s="14" t="s">
        <v>222</v>
      </c>
      <c r="H311" s="13">
        <v>3.0</v>
      </c>
      <c r="I311" s="14" t="s">
        <v>42</v>
      </c>
      <c r="J311" s="15" t="s">
        <v>1316</v>
      </c>
      <c r="K311" s="14" t="str">
        <f t="shared" si="1"/>
        <v>01</v>
      </c>
      <c r="L311" s="14" t="s">
        <v>1317</v>
      </c>
      <c r="M311" s="14" t="s">
        <v>1357</v>
      </c>
      <c r="N311" s="14" t="s">
        <v>403</v>
      </c>
      <c r="O311" s="16">
        <v>46291.0</v>
      </c>
      <c r="P311" s="14" t="s">
        <v>1358</v>
      </c>
      <c r="Q311" s="16">
        <v>46230.0</v>
      </c>
    </row>
    <row r="312">
      <c r="A312" s="13">
        <v>311.0</v>
      </c>
      <c r="B312" s="14" t="s">
        <v>638</v>
      </c>
      <c r="C312" s="14" t="s">
        <v>639</v>
      </c>
      <c r="D312" s="14" t="s">
        <v>640</v>
      </c>
      <c r="E312" s="14" t="s">
        <v>641</v>
      </c>
      <c r="F312" s="14" t="s">
        <v>40</v>
      </c>
      <c r="G312" s="14" t="s">
        <v>222</v>
      </c>
      <c r="H312" s="13">
        <v>3.0</v>
      </c>
      <c r="I312" s="14" t="s">
        <v>61</v>
      </c>
      <c r="J312" s="15" t="s">
        <v>1316</v>
      </c>
      <c r="K312" s="14" t="str">
        <f t="shared" si="1"/>
        <v>01</v>
      </c>
      <c r="L312" s="14" t="s">
        <v>1317</v>
      </c>
      <c r="M312" s="14" t="s">
        <v>1359</v>
      </c>
      <c r="N312" s="14" t="s">
        <v>1360</v>
      </c>
      <c r="O312" s="14" t="s">
        <v>64</v>
      </c>
      <c r="P312" s="14" t="s">
        <v>1361</v>
      </c>
      <c r="Q312" s="16">
        <v>46230.0</v>
      </c>
    </row>
    <row r="313">
      <c r="A313" s="13">
        <v>312.0</v>
      </c>
      <c r="B313" s="14" t="s">
        <v>246</v>
      </c>
      <c r="C313" s="14" t="s">
        <v>247</v>
      </c>
      <c r="D313" s="14" t="s">
        <v>248</v>
      </c>
      <c r="E313" s="14" t="s">
        <v>249</v>
      </c>
      <c r="F313" s="14" t="s">
        <v>250</v>
      </c>
      <c r="G313" s="14" t="s">
        <v>222</v>
      </c>
      <c r="H313" s="13">
        <v>3.0</v>
      </c>
      <c r="I313" s="14" t="s">
        <v>42</v>
      </c>
      <c r="J313" s="15" t="s">
        <v>1316</v>
      </c>
      <c r="K313" s="14" t="str">
        <f t="shared" si="1"/>
        <v>01</v>
      </c>
      <c r="L313" s="14" t="s">
        <v>1317</v>
      </c>
      <c r="M313" s="14" t="s">
        <v>1362</v>
      </c>
      <c r="N313" s="14" t="s">
        <v>252</v>
      </c>
      <c r="O313" s="16">
        <v>46291.0</v>
      </c>
      <c r="Q313" s="16">
        <v>46230.0</v>
      </c>
    </row>
    <row r="314">
      <c r="A314" s="13">
        <v>313.0</v>
      </c>
      <c r="B314" s="14" t="s">
        <v>246</v>
      </c>
      <c r="C314" s="14" t="s">
        <v>247</v>
      </c>
      <c r="D314" s="14" t="s">
        <v>248</v>
      </c>
      <c r="E314" s="14" t="s">
        <v>253</v>
      </c>
      <c r="F314" s="14" t="s">
        <v>40</v>
      </c>
      <c r="G314" s="14" t="s">
        <v>222</v>
      </c>
      <c r="H314" s="13">
        <v>3.0</v>
      </c>
      <c r="I314" s="14" t="s">
        <v>42</v>
      </c>
      <c r="J314" s="15" t="s">
        <v>1316</v>
      </c>
      <c r="K314" s="14" t="str">
        <f t="shared" si="1"/>
        <v>01</v>
      </c>
      <c r="L314" s="14" t="s">
        <v>1317</v>
      </c>
      <c r="M314" s="14" t="s">
        <v>1363</v>
      </c>
      <c r="N314" s="14" t="s">
        <v>256</v>
      </c>
      <c r="O314" s="16">
        <v>46290.0</v>
      </c>
      <c r="Q314" s="16">
        <v>46230.0</v>
      </c>
    </row>
    <row r="315">
      <c r="A315" s="13">
        <v>314.0</v>
      </c>
      <c r="B315" s="14" t="s">
        <v>264</v>
      </c>
      <c r="C315" s="14" t="s">
        <v>265</v>
      </c>
      <c r="D315" s="14" t="s">
        <v>266</v>
      </c>
      <c r="E315" s="14" t="s">
        <v>267</v>
      </c>
      <c r="F315" s="14" t="s">
        <v>60</v>
      </c>
      <c r="G315" s="14" t="s">
        <v>261</v>
      </c>
      <c r="H315" s="13">
        <v>3.0</v>
      </c>
      <c r="I315" s="14" t="s">
        <v>42</v>
      </c>
      <c r="J315" s="15" t="s">
        <v>1316</v>
      </c>
      <c r="K315" s="14" t="str">
        <f t="shared" si="1"/>
        <v>01</v>
      </c>
      <c r="L315" s="14" t="s">
        <v>1317</v>
      </c>
      <c r="M315" s="14" t="s">
        <v>1364</v>
      </c>
      <c r="N315" s="14" t="s">
        <v>270</v>
      </c>
      <c r="O315" s="16">
        <v>46290.0</v>
      </c>
      <c r="P315" s="14" t="s">
        <v>1365</v>
      </c>
      <c r="Q315" s="16">
        <v>46294.0</v>
      </c>
    </row>
    <row r="316">
      <c r="A316" s="13">
        <v>315.0</v>
      </c>
      <c r="B316" s="14" t="s">
        <v>272</v>
      </c>
      <c r="C316" s="14" t="s">
        <v>273</v>
      </c>
      <c r="D316" s="14" t="s">
        <v>274</v>
      </c>
      <c r="E316" s="14" t="s">
        <v>275</v>
      </c>
      <c r="F316" s="14" t="s">
        <v>40</v>
      </c>
      <c r="G316" s="14" t="s">
        <v>261</v>
      </c>
      <c r="H316" s="13">
        <v>3.0</v>
      </c>
      <c r="I316" s="14" t="s">
        <v>42</v>
      </c>
      <c r="J316" s="15" t="s">
        <v>1316</v>
      </c>
      <c r="K316" s="14" t="str">
        <f t="shared" si="1"/>
        <v>01</v>
      </c>
      <c r="L316" s="14" t="s">
        <v>1317</v>
      </c>
      <c r="M316" s="14" t="s">
        <v>1366</v>
      </c>
      <c r="N316" s="14" t="s">
        <v>277</v>
      </c>
      <c r="O316" s="16">
        <v>46318.0</v>
      </c>
      <c r="Q316" s="16">
        <v>46233.0</v>
      </c>
    </row>
    <row r="317">
      <c r="A317" s="13">
        <v>316.0</v>
      </c>
      <c r="B317" s="14" t="s">
        <v>1367</v>
      </c>
      <c r="C317" s="14" t="s">
        <v>1368</v>
      </c>
      <c r="D317" s="14" t="s">
        <v>1369</v>
      </c>
      <c r="E317" s="14" t="s">
        <v>1370</v>
      </c>
      <c r="F317" s="14" t="s">
        <v>207</v>
      </c>
      <c r="G317" s="14" t="s">
        <v>297</v>
      </c>
      <c r="H317" s="13">
        <v>3.0</v>
      </c>
      <c r="I317" s="14" t="s">
        <v>42</v>
      </c>
      <c r="J317" s="15" t="s">
        <v>1316</v>
      </c>
      <c r="K317" s="14" t="str">
        <f t="shared" si="1"/>
        <v>01</v>
      </c>
      <c r="L317" s="14" t="s">
        <v>1317</v>
      </c>
      <c r="M317" s="14" t="s">
        <v>1371</v>
      </c>
      <c r="N317" s="14" t="s">
        <v>1372</v>
      </c>
      <c r="O317" s="16">
        <v>46297.0</v>
      </c>
      <c r="Q317" s="16">
        <v>46233.0</v>
      </c>
    </row>
    <row r="318">
      <c r="A318" s="13">
        <v>317.0</v>
      </c>
      <c r="B318" s="14" t="s">
        <v>1191</v>
      </c>
      <c r="C318" s="14" t="s">
        <v>1192</v>
      </c>
      <c r="D318" s="14" t="s">
        <v>1193</v>
      </c>
      <c r="E318" s="14" t="s">
        <v>1194</v>
      </c>
      <c r="F318" s="14" t="s">
        <v>489</v>
      </c>
      <c r="G318" s="14" t="s">
        <v>297</v>
      </c>
      <c r="H318" s="13">
        <v>3.0</v>
      </c>
      <c r="I318" s="14" t="s">
        <v>42</v>
      </c>
      <c r="J318" s="15" t="s">
        <v>1316</v>
      </c>
      <c r="K318" s="14" t="str">
        <f t="shared" si="1"/>
        <v>01</v>
      </c>
      <c r="L318" s="14" t="s">
        <v>1317</v>
      </c>
      <c r="M318" s="14" t="s">
        <v>1373</v>
      </c>
      <c r="N318" s="14" t="s">
        <v>1374</v>
      </c>
      <c r="O318" s="16">
        <v>46305.0</v>
      </c>
      <c r="Q318" s="16">
        <v>46233.0</v>
      </c>
    </row>
    <row r="319">
      <c r="A319" s="13">
        <v>318.0</v>
      </c>
      <c r="B319" s="14" t="s">
        <v>1375</v>
      </c>
      <c r="C319" s="14" t="s">
        <v>1376</v>
      </c>
      <c r="D319" s="14" t="s">
        <v>1377</v>
      </c>
      <c r="E319" s="14" t="s">
        <v>1378</v>
      </c>
      <c r="F319" s="14" t="s">
        <v>207</v>
      </c>
      <c r="G319" s="14" t="s">
        <v>297</v>
      </c>
      <c r="H319" s="13">
        <v>3.0</v>
      </c>
      <c r="I319" s="14" t="s">
        <v>61</v>
      </c>
      <c r="J319" s="15" t="s">
        <v>1316</v>
      </c>
      <c r="K319" s="14" t="str">
        <f t="shared" si="1"/>
        <v>01</v>
      </c>
      <c r="L319" s="14" t="s">
        <v>1317</v>
      </c>
      <c r="M319" s="14" t="s">
        <v>1379</v>
      </c>
      <c r="N319" s="14" t="s">
        <v>1380</v>
      </c>
      <c r="O319" s="14" t="s">
        <v>64</v>
      </c>
      <c r="P319" s="14" t="s">
        <v>1381</v>
      </c>
      <c r="Q319" s="16">
        <v>46279.0</v>
      </c>
    </row>
    <row r="320">
      <c r="A320" s="13">
        <v>319.0</v>
      </c>
      <c r="B320" s="14" t="s">
        <v>1382</v>
      </c>
      <c r="C320" s="14" t="s">
        <v>1383</v>
      </c>
      <c r="D320" s="14" t="s">
        <v>1384</v>
      </c>
      <c r="E320" s="14" t="s">
        <v>1385</v>
      </c>
      <c r="F320" s="14" t="s">
        <v>60</v>
      </c>
      <c r="G320" s="14" t="s">
        <v>297</v>
      </c>
      <c r="H320" s="13">
        <v>3.0</v>
      </c>
      <c r="I320" s="14" t="s">
        <v>42</v>
      </c>
      <c r="J320" s="15" t="s">
        <v>1316</v>
      </c>
      <c r="K320" s="14" t="str">
        <f t="shared" si="1"/>
        <v>01</v>
      </c>
      <c r="L320" s="14" t="s">
        <v>1317</v>
      </c>
      <c r="M320" s="14" t="s">
        <v>1386</v>
      </c>
      <c r="N320" s="14" t="s">
        <v>1387</v>
      </c>
      <c r="O320" s="16">
        <v>46302.0</v>
      </c>
      <c r="Q320" s="16">
        <v>46238.0</v>
      </c>
    </row>
    <row r="321">
      <c r="A321" s="13">
        <v>320.0</v>
      </c>
      <c r="B321" s="14" t="s">
        <v>478</v>
      </c>
      <c r="C321" s="14" t="s">
        <v>479</v>
      </c>
      <c r="D321" s="14" t="s">
        <v>480</v>
      </c>
      <c r="E321" s="14" t="s">
        <v>481</v>
      </c>
      <c r="F321" s="14" t="s">
        <v>70</v>
      </c>
      <c r="G321" s="14" t="s">
        <v>297</v>
      </c>
      <c r="H321" s="13">
        <v>3.0</v>
      </c>
      <c r="I321" s="14" t="s">
        <v>42</v>
      </c>
      <c r="J321" s="15" t="s">
        <v>1316</v>
      </c>
      <c r="K321" s="14" t="str">
        <f t="shared" si="1"/>
        <v>01</v>
      </c>
      <c r="L321" s="14" t="s">
        <v>1317</v>
      </c>
      <c r="M321" s="14" t="s">
        <v>1388</v>
      </c>
      <c r="N321" s="14" t="s">
        <v>483</v>
      </c>
      <c r="O321" s="16">
        <v>46301.0</v>
      </c>
      <c r="Q321" s="16">
        <v>46238.0</v>
      </c>
    </row>
    <row r="322">
      <c r="A322" s="13">
        <v>321.0</v>
      </c>
      <c r="B322" s="14" t="s">
        <v>1389</v>
      </c>
      <c r="C322" s="14" t="s">
        <v>1390</v>
      </c>
      <c r="D322" s="14" t="s">
        <v>1391</v>
      </c>
      <c r="E322" s="14" t="s">
        <v>1392</v>
      </c>
      <c r="F322" s="14" t="s">
        <v>70</v>
      </c>
      <c r="G322" s="14" t="s">
        <v>297</v>
      </c>
      <c r="H322" s="13">
        <v>3.0</v>
      </c>
      <c r="I322" s="14" t="s">
        <v>42</v>
      </c>
      <c r="J322" s="15" t="s">
        <v>1316</v>
      </c>
      <c r="K322" s="14" t="str">
        <f t="shared" si="1"/>
        <v>01</v>
      </c>
      <c r="L322" s="14" t="s">
        <v>1317</v>
      </c>
      <c r="M322" s="14" t="s">
        <v>1393</v>
      </c>
      <c r="N322" s="14" t="s">
        <v>1394</v>
      </c>
      <c r="O322" s="16">
        <v>46301.0</v>
      </c>
      <c r="Q322" s="16">
        <v>46238.0</v>
      </c>
    </row>
    <row r="323">
      <c r="A323" s="13">
        <v>322.0</v>
      </c>
      <c r="B323" s="14" t="s">
        <v>325</v>
      </c>
      <c r="C323" s="14" t="s">
        <v>326</v>
      </c>
      <c r="D323" s="14" t="s">
        <v>327</v>
      </c>
      <c r="E323" s="14" t="s">
        <v>328</v>
      </c>
      <c r="F323" s="14" t="s">
        <v>70</v>
      </c>
      <c r="G323" s="14" t="s">
        <v>329</v>
      </c>
      <c r="H323" s="13">
        <v>3.0</v>
      </c>
      <c r="I323" s="14" t="s">
        <v>42</v>
      </c>
      <c r="J323" s="15" t="s">
        <v>1316</v>
      </c>
      <c r="K323" s="14" t="str">
        <f t="shared" si="1"/>
        <v>01</v>
      </c>
      <c r="L323" s="14" t="s">
        <v>1317</v>
      </c>
      <c r="M323" s="14" t="s">
        <v>1395</v>
      </c>
      <c r="N323" s="14" t="s">
        <v>331</v>
      </c>
      <c r="O323" s="16">
        <v>46292.0</v>
      </c>
      <c r="Q323" s="16">
        <v>46261.0</v>
      </c>
    </row>
    <row r="324">
      <c r="A324" s="13">
        <v>323.0</v>
      </c>
      <c r="B324" s="14" t="s">
        <v>333</v>
      </c>
      <c r="C324" s="14" t="s">
        <v>334</v>
      </c>
      <c r="D324" s="14" t="s">
        <v>335</v>
      </c>
      <c r="E324" s="14" t="s">
        <v>336</v>
      </c>
      <c r="F324" s="14" t="s">
        <v>70</v>
      </c>
      <c r="G324" s="14" t="s">
        <v>329</v>
      </c>
      <c r="H324" s="13">
        <v>3.0</v>
      </c>
      <c r="I324" s="14" t="s">
        <v>42</v>
      </c>
      <c r="J324" s="15" t="s">
        <v>1316</v>
      </c>
      <c r="K324" s="14" t="str">
        <f t="shared" si="1"/>
        <v>01</v>
      </c>
      <c r="L324" s="14" t="s">
        <v>1317</v>
      </c>
      <c r="M324" s="14" t="s">
        <v>1396</v>
      </c>
      <c r="N324" s="14" t="s">
        <v>338</v>
      </c>
      <c r="O324" s="16">
        <v>46353.0</v>
      </c>
      <c r="P324" s="14" t="s">
        <v>1397</v>
      </c>
      <c r="Q324" s="16">
        <v>46269.0</v>
      </c>
    </row>
    <row r="325">
      <c r="A325" s="13">
        <v>324.0</v>
      </c>
      <c r="B325" s="14" t="s">
        <v>211</v>
      </c>
      <c r="C325" s="14" t="s">
        <v>212</v>
      </c>
      <c r="D325" s="14" t="s">
        <v>213</v>
      </c>
      <c r="E325" s="14" t="s">
        <v>214</v>
      </c>
      <c r="F325" s="14" t="s">
        <v>60</v>
      </c>
      <c r="G325" s="14" t="s">
        <v>191</v>
      </c>
      <c r="H325" s="13">
        <v>3.0</v>
      </c>
      <c r="I325" s="14" t="s">
        <v>42</v>
      </c>
      <c r="J325" s="15" t="s">
        <v>1398</v>
      </c>
      <c r="K325" s="14" t="str">
        <f t="shared" si="1"/>
        <v>01</v>
      </c>
      <c r="L325" s="14" t="s">
        <v>1399</v>
      </c>
      <c r="M325" s="14" t="s">
        <v>1400</v>
      </c>
      <c r="N325" s="14" t="s">
        <v>216</v>
      </c>
      <c r="O325" s="16">
        <v>46290.0</v>
      </c>
      <c r="Q325" s="16">
        <v>46224.0</v>
      </c>
    </row>
    <row r="326">
      <c r="A326" s="13">
        <v>325.0</v>
      </c>
      <c r="B326" s="14" t="s">
        <v>1401</v>
      </c>
      <c r="C326" s="14" t="s">
        <v>1402</v>
      </c>
      <c r="D326" s="14" t="s">
        <v>1403</v>
      </c>
      <c r="E326" s="14" t="s">
        <v>1404</v>
      </c>
      <c r="F326" s="14" t="s">
        <v>70</v>
      </c>
      <c r="G326" s="14" t="s">
        <v>297</v>
      </c>
      <c r="H326" s="13">
        <v>3.0</v>
      </c>
      <c r="I326" s="14" t="s">
        <v>42</v>
      </c>
      <c r="J326" s="15" t="s">
        <v>1398</v>
      </c>
      <c r="K326" s="14" t="str">
        <f t="shared" si="1"/>
        <v>01</v>
      </c>
      <c r="L326" s="14" t="s">
        <v>1399</v>
      </c>
      <c r="M326" s="14" t="s">
        <v>1405</v>
      </c>
      <c r="N326" s="14" t="s">
        <v>1406</v>
      </c>
      <c r="O326" s="16">
        <v>46305.0</v>
      </c>
      <c r="Q326" s="16">
        <v>46233.0</v>
      </c>
    </row>
    <row r="327">
      <c r="A327" s="13">
        <v>326.0</v>
      </c>
      <c r="B327" s="14" t="s">
        <v>310</v>
      </c>
      <c r="C327" s="14" t="s">
        <v>311</v>
      </c>
      <c r="D327" s="14" t="s">
        <v>313</v>
      </c>
      <c r="E327" s="14" t="s">
        <v>314</v>
      </c>
      <c r="F327" s="14" t="s">
        <v>162</v>
      </c>
      <c r="G327" s="14" t="s">
        <v>261</v>
      </c>
      <c r="H327" s="13">
        <v>3.0</v>
      </c>
      <c r="I327" s="14" t="s">
        <v>61</v>
      </c>
      <c r="J327" s="15" t="s">
        <v>1398</v>
      </c>
      <c r="K327" s="14" t="str">
        <f t="shared" si="1"/>
        <v>01</v>
      </c>
      <c r="L327" s="14" t="s">
        <v>1399</v>
      </c>
      <c r="M327" s="14" t="s">
        <v>1407</v>
      </c>
      <c r="N327" s="14" t="s">
        <v>316</v>
      </c>
      <c r="O327" s="14" t="s">
        <v>64</v>
      </c>
      <c r="P327" s="14" t="s">
        <v>1408</v>
      </c>
      <c r="Q327" s="16">
        <v>46252.0</v>
      </c>
    </row>
    <row r="328">
      <c r="A328" s="13">
        <v>327.0</v>
      </c>
      <c r="B328" s="14" t="s">
        <v>1409</v>
      </c>
      <c r="C328" s="14" t="s">
        <v>1410</v>
      </c>
      <c r="D328" s="14" t="s">
        <v>1411</v>
      </c>
      <c r="E328" s="14" t="s">
        <v>1412</v>
      </c>
      <c r="F328" s="14" t="s">
        <v>207</v>
      </c>
      <c r="G328" s="14" t="s">
        <v>297</v>
      </c>
      <c r="H328" s="13">
        <v>3.0</v>
      </c>
      <c r="I328" s="14" t="s">
        <v>42</v>
      </c>
      <c r="J328" s="15" t="s">
        <v>1398</v>
      </c>
      <c r="K328" s="14" t="str">
        <f t="shared" si="1"/>
        <v>01</v>
      </c>
      <c r="L328" s="14" t="s">
        <v>1399</v>
      </c>
      <c r="M328" s="14" t="s">
        <v>1413</v>
      </c>
      <c r="N328" s="14" t="s">
        <v>1414</v>
      </c>
      <c r="O328" s="16">
        <v>46303.0</v>
      </c>
      <c r="Q328" s="16">
        <v>46238.0</v>
      </c>
    </row>
    <row r="329">
      <c r="A329" s="13">
        <v>328.0</v>
      </c>
      <c r="B329" s="14" t="s">
        <v>478</v>
      </c>
      <c r="C329" s="14" t="s">
        <v>479</v>
      </c>
      <c r="D329" s="14" t="s">
        <v>480</v>
      </c>
      <c r="E329" s="14" t="s">
        <v>481</v>
      </c>
      <c r="F329" s="14" t="s">
        <v>70</v>
      </c>
      <c r="G329" s="14" t="s">
        <v>297</v>
      </c>
      <c r="H329" s="13">
        <v>3.0</v>
      </c>
      <c r="I329" s="14" t="s">
        <v>42</v>
      </c>
      <c r="J329" s="15" t="s">
        <v>1398</v>
      </c>
      <c r="K329" s="14" t="str">
        <f t="shared" si="1"/>
        <v>01</v>
      </c>
      <c r="L329" s="14" t="s">
        <v>1399</v>
      </c>
      <c r="M329" s="14" t="s">
        <v>1415</v>
      </c>
      <c r="N329" s="14" t="s">
        <v>483</v>
      </c>
      <c r="O329" s="16">
        <v>46301.0</v>
      </c>
      <c r="Q329" s="16">
        <v>46238.0</v>
      </c>
    </row>
    <row r="330">
      <c r="A330" s="13">
        <v>329.0</v>
      </c>
      <c r="B330" s="14" t="s">
        <v>36</v>
      </c>
      <c r="C330" s="14" t="s">
        <v>37</v>
      </c>
      <c r="D330" s="14" t="s">
        <v>38</v>
      </c>
      <c r="E330" s="14" t="s">
        <v>39</v>
      </c>
      <c r="F330" s="14" t="s">
        <v>40</v>
      </c>
      <c r="G330" s="14" t="s">
        <v>41</v>
      </c>
      <c r="H330" s="13">
        <v>3.0</v>
      </c>
      <c r="I330" s="14" t="s">
        <v>42</v>
      </c>
      <c r="J330" s="15" t="s">
        <v>1416</v>
      </c>
      <c r="K330" s="14" t="str">
        <f t="shared" si="1"/>
        <v>02</v>
      </c>
      <c r="L330" s="14" t="s">
        <v>1417</v>
      </c>
      <c r="M330" s="14" t="s">
        <v>1418</v>
      </c>
      <c r="N330" s="14" t="s">
        <v>1419</v>
      </c>
      <c r="O330" s="16">
        <v>46241.0</v>
      </c>
      <c r="Q330" s="16">
        <v>46147.0</v>
      </c>
    </row>
    <row r="331">
      <c r="A331" s="13">
        <v>330.0</v>
      </c>
      <c r="B331" s="14" t="s">
        <v>586</v>
      </c>
      <c r="C331" s="14" t="s">
        <v>587</v>
      </c>
      <c r="D331" s="14" t="s">
        <v>588</v>
      </c>
      <c r="E331" s="14" t="s">
        <v>589</v>
      </c>
      <c r="F331" s="14" t="s">
        <v>40</v>
      </c>
      <c r="G331" s="14" t="s">
        <v>41</v>
      </c>
      <c r="H331" s="13">
        <v>3.0</v>
      </c>
      <c r="I331" s="14" t="s">
        <v>42</v>
      </c>
      <c r="J331" s="15" t="s">
        <v>1416</v>
      </c>
      <c r="K331" s="14" t="str">
        <f t="shared" si="1"/>
        <v>02</v>
      </c>
      <c r="L331" s="14" t="s">
        <v>1417</v>
      </c>
      <c r="M331" s="14" t="s">
        <v>1420</v>
      </c>
      <c r="N331" s="14" t="s">
        <v>1421</v>
      </c>
      <c r="O331" s="16">
        <v>46265.0</v>
      </c>
      <c r="Q331" s="16">
        <v>46147.0</v>
      </c>
    </row>
    <row r="332">
      <c r="A332" s="13">
        <v>331.0</v>
      </c>
      <c r="B332" s="14" t="s">
        <v>48</v>
      </c>
      <c r="C332" s="14" t="s">
        <v>49</v>
      </c>
      <c r="D332" s="14" t="s">
        <v>50</v>
      </c>
      <c r="E332" s="14" t="s">
        <v>677</v>
      </c>
      <c r="F332" s="14" t="s">
        <v>527</v>
      </c>
      <c r="G332" s="14" t="s">
        <v>41</v>
      </c>
      <c r="H332" s="13">
        <v>3.0</v>
      </c>
      <c r="I332" s="14" t="s">
        <v>42</v>
      </c>
      <c r="J332" s="15" t="s">
        <v>1416</v>
      </c>
      <c r="K332" s="14" t="str">
        <f t="shared" si="1"/>
        <v>02</v>
      </c>
      <c r="L332" s="14" t="s">
        <v>1417</v>
      </c>
      <c r="M332" s="14" t="s">
        <v>1422</v>
      </c>
      <c r="N332" s="14" t="s">
        <v>1423</v>
      </c>
      <c r="O332" s="16">
        <v>46265.0</v>
      </c>
      <c r="P332" s="14" t="s">
        <v>1424</v>
      </c>
      <c r="Q332" s="16">
        <v>46147.0</v>
      </c>
    </row>
    <row r="333">
      <c r="A333" s="13">
        <v>332.0</v>
      </c>
      <c r="B333" s="14" t="s">
        <v>48</v>
      </c>
      <c r="C333" s="14" t="s">
        <v>49</v>
      </c>
      <c r="D333" s="14" t="s">
        <v>50</v>
      </c>
      <c r="E333" s="14" t="s">
        <v>51</v>
      </c>
      <c r="F333" s="14" t="s">
        <v>40</v>
      </c>
      <c r="G333" s="14" t="s">
        <v>41</v>
      </c>
      <c r="H333" s="13">
        <v>3.0</v>
      </c>
      <c r="I333" s="14" t="s">
        <v>42</v>
      </c>
      <c r="J333" s="15" t="s">
        <v>1416</v>
      </c>
      <c r="K333" s="14" t="str">
        <f t="shared" si="1"/>
        <v>02</v>
      </c>
      <c r="L333" s="14" t="s">
        <v>1417</v>
      </c>
      <c r="M333" s="14" t="s">
        <v>1425</v>
      </c>
      <c r="N333" s="14" t="s">
        <v>1426</v>
      </c>
      <c r="O333" s="16">
        <v>46262.0</v>
      </c>
      <c r="Q333" s="16">
        <v>46147.0</v>
      </c>
    </row>
    <row r="334">
      <c r="A334" s="13">
        <v>333.0</v>
      </c>
      <c r="B334" s="14" t="s">
        <v>48</v>
      </c>
      <c r="C334" s="14" t="s">
        <v>49</v>
      </c>
      <c r="D334" s="14" t="s">
        <v>50</v>
      </c>
      <c r="E334" s="14" t="s">
        <v>829</v>
      </c>
      <c r="F334" s="14" t="s">
        <v>489</v>
      </c>
      <c r="G334" s="14" t="s">
        <v>41</v>
      </c>
      <c r="H334" s="13">
        <v>3.0</v>
      </c>
      <c r="I334" s="14" t="s">
        <v>61</v>
      </c>
      <c r="J334" s="15" t="s">
        <v>1416</v>
      </c>
      <c r="K334" s="14" t="str">
        <f t="shared" si="1"/>
        <v>02</v>
      </c>
      <c r="L334" s="14" t="s">
        <v>1417</v>
      </c>
      <c r="M334" s="14" t="s">
        <v>1427</v>
      </c>
      <c r="N334" s="14" t="s">
        <v>1428</v>
      </c>
      <c r="O334" s="16">
        <v>46257.0</v>
      </c>
      <c r="P334" s="14" t="s">
        <v>1429</v>
      </c>
      <c r="Q334" s="16">
        <v>46226.0</v>
      </c>
    </row>
    <row r="335">
      <c r="A335" s="13">
        <v>334.0</v>
      </c>
      <c r="B335" s="14" t="s">
        <v>836</v>
      </c>
      <c r="C335" s="14" t="s">
        <v>837</v>
      </c>
      <c r="D335" s="14" t="s">
        <v>838</v>
      </c>
      <c r="E335" s="14" t="s">
        <v>839</v>
      </c>
      <c r="F335" s="14" t="s">
        <v>40</v>
      </c>
      <c r="G335" s="14" t="s">
        <v>41</v>
      </c>
      <c r="H335" s="13">
        <v>3.0</v>
      </c>
      <c r="I335" s="14" t="s">
        <v>42</v>
      </c>
      <c r="J335" s="15" t="s">
        <v>1416</v>
      </c>
      <c r="K335" s="14" t="str">
        <f t="shared" si="1"/>
        <v>02</v>
      </c>
      <c r="L335" s="14" t="s">
        <v>1417</v>
      </c>
      <c r="M335" s="14" t="s">
        <v>1430</v>
      </c>
      <c r="N335" s="14" t="s">
        <v>1431</v>
      </c>
      <c r="O335" s="16">
        <v>46265.0</v>
      </c>
      <c r="Q335" s="16">
        <v>46147.0</v>
      </c>
    </row>
    <row r="336">
      <c r="A336" s="13">
        <v>335.0</v>
      </c>
      <c r="B336" s="14" t="s">
        <v>594</v>
      </c>
      <c r="C336" s="14" t="s">
        <v>595</v>
      </c>
      <c r="D336" s="14" t="s">
        <v>596</v>
      </c>
      <c r="E336" s="14" t="s">
        <v>597</v>
      </c>
      <c r="F336" s="14" t="s">
        <v>40</v>
      </c>
      <c r="G336" s="14" t="s">
        <v>41</v>
      </c>
      <c r="H336" s="13">
        <v>3.0</v>
      </c>
      <c r="I336" s="14" t="s">
        <v>61</v>
      </c>
      <c r="J336" s="15" t="s">
        <v>1416</v>
      </c>
      <c r="K336" s="14" t="str">
        <f t="shared" si="1"/>
        <v>02</v>
      </c>
      <c r="L336" s="14" t="s">
        <v>1417</v>
      </c>
      <c r="M336" s="14" t="s">
        <v>1432</v>
      </c>
      <c r="N336" s="14" t="s">
        <v>1433</v>
      </c>
      <c r="O336" s="16">
        <v>46269.0</v>
      </c>
      <c r="P336" s="14" t="s">
        <v>1434</v>
      </c>
      <c r="Q336" s="16">
        <v>46185.0</v>
      </c>
    </row>
    <row r="337">
      <c r="A337" s="13">
        <v>336.0</v>
      </c>
      <c r="B337" s="14" t="s">
        <v>1067</v>
      </c>
      <c r="C337" s="14" t="s">
        <v>1068</v>
      </c>
      <c r="D337" s="14" t="s">
        <v>1069</v>
      </c>
      <c r="E337" s="14" t="s">
        <v>1070</v>
      </c>
      <c r="F337" s="14" t="s">
        <v>40</v>
      </c>
      <c r="G337" s="14" t="s">
        <v>41</v>
      </c>
      <c r="H337" s="13">
        <v>3.0</v>
      </c>
      <c r="I337" s="14" t="s">
        <v>42</v>
      </c>
      <c r="J337" s="15" t="s">
        <v>1416</v>
      </c>
      <c r="K337" s="14" t="str">
        <f t="shared" si="1"/>
        <v>02</v>
      </c>
      <c r="L337" s="14" t="s">
        <v>1417</v>
      </c>
      <c r="M337" s="14" t="s">
        <v>1435</v>
      </c>
      <c r="N337" s="14" t="s">
        <v>1436</v>
      </c>
      <c r="O337" s="14" t="s">
        <v>64</v>
      </c>
      <c r="P337" s="14" t="s">
        <v>1437</v>
      </c>
      <c r="Q337" s="16">
        <v>46209.0</v>
      </c>
    </row>
    <row r="338">
      <c r="A338" s="13">
        <v>337.0</v>
      </c>
      <c r="B338" s="14" t="s">
        <v>842</v>
      </c>
      <c r="C338" s="14" t="s">
        <v>843</v>
      </c>
      <c r="D338" s="14" t="s">
        <v>844</v>
      </c>
      <c r="E338" s="14" t="s">
        <v>845</v>
      </c>
      <c r="F338" s="14" t="s">
        <v>40</v>
      </c>
      <c r="G338" s="14" t="s">
        <v>41</v>
      </c>
      <c r="H338" s="13">
        <v>3.0</v>
      </c>
      <c r="I338" s="14" t="s">
        <v>42</v>
      </c>
      <c r="J338" s="15" t="s">
        <v>1416</v>
      </c>
      <c r="K338" s="14" t="str">
        <f t="shared" si="1"/>
        <v>02</v>
      </c>
      <c r="L338" s="14" t="s">
        <v>1417</v>
      </c>
      <c r="M338" s="14" t="s">
        <v>1438</v>
      </c>
      <c r="N338" s="14" t="s">
        <v>1433</v>
      </c>
      <c r="O338" s="14" t="s">
        <v>64</v>
      </c>
      <c r="P338" s="14" t="s">
        <v>1439</v>
      </c>
      <c r="Q338" s="16">
        <v>46204.0</v>
      </c>
    </row>
    <row r="339">
      <c r="A339" s="13">
        <v>338.0</v>
      </c>
      <c r="B339" s="14" t="s">
        <v>852</v>
      </c>
      <c r="C339" s="14" t="s">
        <v>853</v>
      </c>
      <c r="D339" s="14" t="s">
        <v>854</v>
      </c>
      <c r="E339" s="14" t="s">
        <v>855</v>
      </c>
      <c r="F339" s="14" t="s">
        <v>40</v>
      </c>
      <c r="G339" s="14" t="s">
        <v>41</v>
      </c>
      <c r="H339" s="13">
        <v>3.0</v>
      </c>
      <c r="I339" s="14" t="s">
        <v>61</v>
      </c>
      <c r="J339" s="15" t="s">
        <v>1416</v>
      </c>
      <c r="K339" s="14" t="str">
        <f t="shared" si="1"/>
        <v>02</v>
      </c>
      <c r="L339" s="14" t="s">
        <v>1417</v>
      </c>
      <c r="M339" s="14" t="s">
        <v>1440</v>
      </c>
      <c r="N339" s="14" t="s">
        <v>1441</v>
      </c>
      <c r="O339" s="14" t="s">
        <v>64</v>
      </c>
      <c r="P339" s="14" t="s">
        <v>1442</v>
      </c>
      <c r="Q339" s="16">
        <v>46162.0</v>
      </c>
    </row>
    <row r="340">
      <c r="A340" s="13">
        <v>339.0</v>
      </c>
      <c r="B340" s="14" t="s">
        <v>1018</v>
      </c>
      <c r="C340" s="14" t="s">
        <v>1019</v>
      </c>
      <c r="D340" s="14" t="s">
        <v>1020</v>
      </c>
      <c r="E340" s="14" t="s">
        <v>1021</v>
      </c>
      <c r="F340" s="14" t="s">
        <v>60</v>
      </c>
      <c r="G340" s="14" t="s">
        <v>41</v>
      </c>
      <c r="H340" s="13">
        <v>3.0</v>
      </c>
      <c r="I340" s="14" t="s">
        <v>61</v>
      </c>
      <c r="J340" s="15" t="s">
        <v>1416</v>
      </c>
      <c r="K340" s="14" t="str">
        <f t="shared" si="1"/>
        <v>02</v>
      </c>
      <c r="L340" s="14" t="s">
        <v>1417</v>
      </c>
      <c r="M340" s="14" t="s">
        <v>1443</v>
      </c>
      <c r="N340" s="14" t="s">
        <v>1441</v>
      </c>
      <c r="O340" s="14" t="s">
        <v>64</v>
      </c>
      <c r="P340" s="14" t="s">
        <v>1444</v>
      </c>
      <c r="Q340" s="16">
        <v>46191.0</v>
      </c>
    </row>
    <row r="341">
      <c r="A341" s="13">
        <v>340.0</v>
      </c>
      <c r="B341" s="14" t="s">
        <v>601</v>
      </c>
      <c r="C341" s="14" t="s">
        <v>602</v>
      </c>
      <c r="D341" s="14" t="s">
        <v>603</v>
      </c>
      <c r="E341" s="14" t="s">
        <v>604</v>
      </c>
      <c r="F341" s="14" t="s">
        <v>40</v>
      </c>
      <c r="G341" s="14" t="s">
        <v>109</v>
      </c>
      <c r="H341" s="13">
        <v>3.0</v>
      </c>
      <c r="I341" s="14" t="s">
        <v>61</v>
      </c>
      <c r="J341" s="15" t="s">
        <v>1416</v>
      </c>
      <c r="K341" s="14" t="str">
        <f t="shared" si="1"/>
        <v>02</v>
      </c>
      <c r="L341" s="14" t="s">
        <v>1417</v>
      </c>
      <c r="M341" s="14" t="s">
        <v>1445</v>
      </c>
      <c r="N341" s="14" t="s">
        <v>1446</v>
      </c>
      <c r="O341" s="14" t="s">
        <v>64</v>
      </c>
      <c r="P341" s="14" t="s">
        <v>1447</v>
      </c>
      <c r="Q341" s="16">
        <v>46161.0</v>
      </c>
    </row>
    <row r="342">
      <c r="A342" s="13">
        <v>341.0</v>
      </c>
      <c r="B342" s="14" t="s">
        <v>697</v>
      </c>
      <c r="C342" s="14" t="s">
        <v>698</v>
      </c>
      <c r="D342" s="14" t="s">
        <v>699</v>
      </c>
      <c r="E342" s="14" t="s">
        <v>700</v>
      </c>
      <c r="F342" s="14" t="s">
        <v>489</v>
      </c>
      <c r="G342" s="14" t="s">
        <v>109</v>
      </c>
      <c r="H342" s="13">
        <v>3.0</v>
      </c>
      <c r="I342" s="14" t="s">
        <v>61</v>
      </c>
      <c r="J342" s="15" t="s">
        <v>1416</v>
      </c>
      <c r="K342" s="14" t="str">
        <f t="shared" si="1"/>
        <v>02</v>
      </c>
      <c r="L342" s="14" t="s">
        <v>1417</v>
      </c>
      <c r="M342" s="14" t="s">
        <v>1448</v>
      </c>
      <c r="N342" s="14" t="s">
        <v>1449</v>
      </c>
      <c r="O342" s="14" t="s">
        <v>64</v>
      </c>
      <c r="P342" s="14" t="s">
        <v>1450</v>
      </c>
      <c r="Q342" s="16">
        <v>46188.0</v>
      </c>
    </row>
    <row r="343">
      <c r="A343" s="13">
        <v>342.0</v>
      </c>
      <c r="B343" s="14" t="s">
        <v>1451</v>
      </c>
      <c r="C343" s="14" t="s">
        <v>1452</v>
      </c>
      <c r="D343" s="14" t="s">
        <v>1453</v>
      </c>
      <c r="E343" s="14" t="s">
        <v>1454</v>
      </c>
      <c r="F343" s="14" t="s">
        <v>40</v>
      </c>
      <c r="G343" s="14" t="s">
        <v>109</v>
      </c>
      <c r="H343" s="13">
        <v>3.0</v>
      </c>
      <c r="I343" s="14" t="s">
        <v>61</v>
      </c>
      <c r="J343" s="15" t="s">
        <v>1416</v>
      </c>
      <c r="K343" s="14" t="str">
        <f t="shared" si="1"/>
        <v>02</v>
      </c>
      <c r="L343" s="14" t="s">
        <v>1417</v>
      </c>
      <c r="M343" s="14" t="s">
        <v>1455</v>
      </c>
      <c r="N343" s="14" t="s">
        <v>1456</v>
      </c>
      <c r="O343" s="16">
        <v>46241.0</v>
      </c>
      <c r="P343" s="14" t="s">
        <v>1457</v>
      </c>
      <c r="Q343" s="16">
        <v>46234.0</v>
      </c>
    </row>
    <row r="344">
      <c r="A344" s="13">
        <v>343.0</v>
      </c>
      <c r="B344" s="14" t="s">
        <v>615</v>
      </c>
      <c r="C344" s="14" t="s">
        <v>616</v>
      </c>
      <c r="D344" s="14" t="s">
        <v>617</v>
      </c>
      <c r="E344" s="14" t="s">
        <v>618</v>
      </c>
      <c r="F344" s="14" t="s">
        <v>40</v>
      </c>
      <c r="G344" s="14" t="s">
        <v>109</v>
      </c>
      <c r="H344" s="13">
        <v>3.0</v>
      </c>
      <c r="I344" s="14" t="s">
        <v>42</v>
      </c>
      <c r="J344" s="15" t="s">
        <v>1416</v>
      </c>
      <c r="K344" s="14" t="str">
        <f t="shared" si="1"/>
        <v>02</v>
      </c>
      <c r="L344" s="14" t="s">
        <v>1417</v>
      </c>
      <c r="M344" s="14" t="s">
        <v>1458</v>
      </c>
      <c r="N344" s="14" t="s">
        <v>1459</v>
      </c>
      <c r="O344" s="16">
        <v>46234.0</v>
      </c>
      <c r="Q344" s="16">
        <v>46161.0</v>
      </c>
    </row>
    <row r="345">
      <c r="A345" s="13">
        <v>344.0</v>
      </c>
      <c r="B345" s="14" t="s">
        <v>767</v>
      </c>
      <c r="C345" s="14" t="s">
        <v>768</v>
      </c>
      <c r="D345" s="14" t="s">
        <v>769</v>
      </c>
      <c r="E345" s="14" t="s">
        <v>776</v>
      </c>
      <c r="F345" s="14" t="s">
        <v>60</v>
      </c>
      <c r="G345" s="14" t="s">
        <v>109</v>
      </c>
      <c r="H345" s="13">
        <v>3.0</v>
      </c>
      <c r="I345" s="14" t="s">
        <v>61</v>
      </c>
      <c r="J345" s="15" t="s">
        <v>1416</v>
      </c>
      <c r="K345" s="14" t="str">
        <f t="shared" si="1"/>
        <v>02</v>
      </c>
      <c r="L345" s="14" t="s">
        <v>1417</v>
      </c>
      <c r="M345" s="14" t="s">
        <v>1460</v>
      </c>
      <c r="N345" s="14" t="s">
        <v>1461</v>
      </c>
      <c r="O345" s="14" t="s">
        <v>64</v>
      </c>
      <c r="P345" s="14" t="s">
        <v>1462</v>
      </c>
      <c r="Q345" s="16">
        <v>46171.0</v>
      </c>
    </row>
    <row r="346">
      <c r="A346" s="13">
        <v>345.0</v>
      </c>
      <c r="B346" s="14" t="s">
        <v>358</v>
      </c>
      <c r="C346" s="14" t="s">
        <v>359</v>
      </c>
      <c r="D346" s="14" t="s">
        <v>360</v>
      </c>
      <c r="E346" s="14" t="s">
        <v>361</v>
      </c>
      <c r="F346" s="14" t="s">
        <v>40</v>
      </c>
      <c r="G346" s="14" t="s">
        <v>109</v>
      </c>
      <c r="H346" s="13">
        <v>3.0</v>
      </c>
      <c r="I346" s="14" t="s">
        <v>42</v>
      </c>
      <c r="J346" s="15" t="s">
        <v>1416</v>
      </c>
      <c r="K346" s="14" t="str">
        <f t="shared" si="1"/>
        <v>02</v>
      </c>
      <c r="L346" s="14" t="s">
        <v>1417</v>
      </c>
      <c r="M346" s="14" t="s">
        <v>1463</v>
      </c>
      <c r="N346" s="14" t="s">
        <v>1464</v>
      </c>
      <c r="O346" s="14" t="s">
        <v>64</v>
      </c>
      <c r="P346" s="14" t="s">
        <v>1465</v>
      </c>
      <c r="Q346" s="16">
        <v>46184.0</v>
      </c>
    </row>
    <row r="347">
      <c r="A347" s="13">
        <v>346.0</v>
      </c>
      <c r="B347" s="14" t="s">
        <v>365</v>
      </c>
      <c r="C347" s="14" t="s">
        <v>366</v>
      </c>
      <c r="D347" s="14" t="s">
        <v>368</v>
      </c>
      <c r="E347" s="14" t="s">
        <v>369</v>
      </c>
      <c r="F347" s="14" t="s">
        <v>40</v>
      </c>
      <c r="G347" s="14" t="s">
        <v>109</v>
      </c>
      <c r="H347" s="13">
        <v>3.0</v>
      </c>
      <c r="I347" s="14" t="s">
        <v>42</v>
      </c>
      <c r="J347" s="15" t="s">
        <v>1416</v>
      </c>
      <c r="K347" s="14" t="str">
        <f t="shared" si="1"/>
        <v>02</v>
      </c>
      <c r="L347" s="14" t="s">
        <v>1417</v>
      </c>
      <c r="M347" s="14" t="s">
        <v>1466</v>
      </c>
      <c r="N347" s="14" t="s">
        <v>1467</v>
      </c>
      <c r="O347" s="16">
        <v>46285.0</v>
      </c>
      <c r="Q347" s="16">
        <v>46162.0</v>
      </c>
    </row>
    <row r="348">
      <c r="A348" s="13">
        <v>347.0</v>
      </c>
      <c r="B348" s="14" t="s">
        <v>113</v>
      </c>
      <c r="C348" s="14" t="s">
        <v>114</v>
      </c>
      <c r="D348" s="14" t="s">
        <v>115</v>
      </c>
      <c r="E348" s="14" t="s">
        <v>116</v>
      </c>
      <c r="F348" s="14" t="s">
        <v>40</v>
      </c>
      <c r="G348" s="14" t="s">
        <v>109</v>
      </c>
      <c r="H348" s="13">
        <v>3.0</v>
      </c>
      <c r="I348" s="14" t="s">
        <v>42</v>
      </c>
      <c r="J348" s="15" t="s">
        <v>1416</v>
      </c>
      <c r="K348" s="14" t="str">
        <f t="shared" si="1"/>
        <v>02</v>
      </c>
      <c r="L348" s="14" t="s">
        <v>1417</v>
      </c>
      <c r="M348" s="14" t="s">
        <v>1468</v>
      </c>
      <c r="N348" s="14" t="s">
        <v>1469</v>
      </c>
      <c r="O348" s="14" t="s">
        <v>64</v>
      </c>
      <c r="P348" s="14" t="s">
        <v>1470</v>
      </c>
      <c r="Q348" s="16">
        <v>46180.0</v>
      </c>
    </row>
    <row r="349">
      <c r="A349" s="13">
        <v>348.0</v>
      </c>
      <c r="B349" s="14" t="s">
        <v>129</v>
      </c>
      <c r="C349" s="14" t="s">
        <v>130</v>
      </c>
      <c r="D349" s="14" t="s">
        <v>131</v>
      </c>
      <c r="E349" s="14" t="s">
        <v>132</v>
      </c>
      <c r="F349" s="14" t="s">
        <v>40</v>
      </c>
      <c r="G349" s="14" t="s">
        <v>124</v>
      </c>
      <c r="H349" s="13">
        <v>3.0</v>
      </c>
      <c r="I349" s="14" t="s">
        <v>61</v>
      </c>
      <c r="J349" s="15" t="s">
        <v>1416</v>
      </c>
      <c r="K349" s="14" t="str">
        <f t="shared" si="1"/>
        <v>02</v>
      </c>
      <c r="L349" s="14" t="s">
        <v>1417</v>
      </c>
      <c r="M349" s="14" t="s">
        <v>1471</v>
      </c>
      <c r="N349" s="14" t="s">
        <v>1472</v>
      </c>
      <c r="O349" s="16">
        <v>46285.0</v>
      </c>
      <c r="P349" s="14" t="s">
        <v>1473</v>
      </c>
      <c r="Q349" s="16">
        <v>46175.0</v>
      </c>
    </row>
    <row r="350">
      <c r="A350" s="13">
        <v>349.0</v>
      </c>
      <c r="B350" s="14" t="s">
        <v>1474</v>
      </c>
      <c r="C350" s="14" t="s">
        <v>1475</v>
      </c>
      <c r="D350" s="14" t="s">
        <v>1476</v>
      </c>
      <c r="E350" s="14" t="s">
        <v>1477</v>
      </c>
      <c r="F350" s="14" t="s">
        <v>40</v>
      </c>
      <c r="G350" s="14" t="s">
        <v>124</v>
      </c>
      <c r="H350" s="13">
        <v>3.0</v>
      </c>
      <c r="I350" s="14" t="s">
        <v>61</v>
      </c>
      <c r="J350" s="15" t="s">
        <v>1416</v>
      </c>
      <c r="K350" s="14" t="str">
        <f t="shared" si="1"/>
        <v>02</v>
      </c>
      <c r="L350" s="14" t="s">
        <v>1417</v>
      </c>
      <c r="M350" s="14" t="s">
        <v>1478</v>
      </c>
      <c r="N350" s="14" t="s">
        <v>1472</v>
      </c>
      <c r="O350" s="14" t="s">
        <v>64</v>
      </c>
      <c r="P350" s="14" t="s">
        <v>1479</v>
      </c>
      <c r="Q350" s="16">
        <v>46218.0</v>
      </c>
    </row>
    <row r="351">
      <c r="A351" s="13">
        <v>350.0</v>
      </c>
      <c r="B351" s="14" t="s">
        <v>883</v>
      </c>
      <c r="C351" s="14" t="s">
        <v>884</v>
      </c>
      <c r="D351" s="14" t="s">
        <v>885</v>
      </c>
      <c r="E351" s="14" t="s">
        <v>886</v>
      </c>
      <c r="F351" s="14" t="s">
        <v>40</v>
      </c>
      <c r="G351" s="14" t="s">
        <v>124</v>
      </c>
      <c r="H351" s="13">
        <v>3.0</v>
      </c>
      <c r="I351" s="14" t="s">
        <v>61</v>
      </c>
      <c r="J351" s="15" t="s">
        <v>1416</v>
      </c>
      <c r="K351" s="14" t="str">
        <f t="shared" si="1"/>
        <v>02</v>
      </c>
      <c r="L351" s="14" t="s">
        <v>1417</v>
      </c>
      <c r="M351" s="14" t="s">
        <v>1480</v>
      </c>
      <c r="N351" s="14" t="s">
        <v>1481</v>
      </c>
      <c r="O351" s="14" t="s">
        <v>64</v>
      </c>
      <c r="P351" s="14" t="s">
        <v>1482</v>
      </c>
      <c r="Q351" s="16">
        <v>46176.0</v>
      </c>
    </row>
    <row r="352">
      <c r="A352" s="13">
        <v>351.0</v>
      </c>
      <c r="B352" s="14" t="s">
        <v>1483</v>
      </c>
      <c r="C352" s="14" t="s">
        <v>1484</v>
      </c>
      <c r="D352" s="14" t="s">
        <v>1485</v>
      </c>
      <c r="E352" s="14" t="s">
        <v>1486</v>
      </c>
      <c r="F352" s="14" t="s">
        <v>40</v>
      </c>
      <c r="G352" s="14" t="s">
        <v>124</v>
      </c>
      <c r="H352" s="13">
        <v>3.0</v>
      </c>
      <c r="I352" s="14" t="s">
        <v>61</v>
      </c>
      <c r="J352" s="15" t="s">
        <v>1416</v>
      </c>
      <c r="K352" s="14" t="str">
        <f t="shared" si="1"/>
        <v>02</v>
      </c>
      <c r="L352" s="14" t="s">
        <v>1417</v>
      </c>
      <c r="M352" s="14" t="s">
        <v>1487</v>
      </c>
      <c r="N352" s="14" t="s">
        <v>1488</v>
      </c>
      <c r="O352" s="14" t="s">
        <v>64</v>
      </c>
      <c r="P352" s="14" t="s">
        <v>1489</v>
      </c>
      <c r="Q352" s="16">
        <v>46191.0</v>
      </c>
    </row>
    <row r="353">
      <c r="A353" s="13">
        <v>352.0</v>
      </c>
      <c r="B353" s="14" t="s">
        <v>135</v>
      </c>
      <c r="C353" s="14" t="s">
        <v>136</v>
      </c>
      <c r="D353" s="14" t="s">
        <v>137</v>
      </c>
      <c r="E353" s="14" t="s">
        <v>138</v>
      </c>
      <c r="F353" s="14" t="s">
        <v>40</v>
      </c>
      <c r="G353" s="14" t="s">
        <v>124</v>
      </c>
      <c r="H353" s="13">
        <v>3.0</v>
      </c>
      <c r="I353" s="14" t="s">
        <v>42</v>
      </c>
      <c r="J353" s="15" t="s">
        <v>1416</v>
      </c>
      <c r="K353" s="14" t="str">
        <f t="shared" si="1"/>
        <v>02</v>
      </c>
      <c r="L353" s="14" t="s">
        <v>1417</v>
      </c>
      <c r="M353" s="14" t="s">
        <v>1490</v>
      </c>
      <c r="N353" s="14" t="s">
        <v>1488</v>
      </c>
      <c r="O353" s="16">
        <v>46304.0</v>
      </c>
      <c r="Q353" s="16">
        <v>46233.0</v>
      </c>
    </row>
    <row r="354">
      <c r="A354" s="13">
        <v>353.0</v>
      </c>
      <c r="B354" s="14" t="s">
        <v>1287</v>
      </c>
      <c r="C354" s="14" t="s">
        <v>1288</v>
      </c>
      <c r="D354" s="14" t="s">
        <v>1289</v>
      </c>
      <c r="E354" s="14" t="s">
        <v>1290</v>
      </c>
      <c r="F354" s="14" t="s">
        <v>40</v>
      </c>
      <c r="G354" s="14" t="s">
        <v>146</v>
      </c>
      <c r="H354" s="13">
        <v>3.0</v>
      </c>
      <c r="I354" s="14" t="s">
        <v>61</v>
      </c>
      <c r="J354" s="15" t="s">
        <v>1416</v>
      </c>
      <c r="K354" s="14" t="str">
        <f t="shared" si="1"/>
        <v>02</v>
      </c>
      <c r="L354" s="14" t="s">
        <v>1417</v>
      </c>
      <c r="M354" s="14" t="s">
        <v>1491</v>
      </c>
      <c r="N354" s="14" t="s">
        <v>1492</v>
      </c>
      <c r="O354" s="14" t="s">
        <v>64</v>
      </c>
      <c r="P354" s="14" t="s">
        <v>1493</v>
      </c>
      <c r="Q354" s="16">
        <v>46244.0</v>
      </c>
    </row>
    <row r="355">
      <c r="A355" s="13">
        <v>354.0</v>
      </c>
      <c r="B355" s="14" t="s">
        <v>659</v>
      </c>
      <c r="C355" s="14" t="s">
        <v>660</v>
      </c>
      <c r="D355" s="14" t="s">
        <v>661</v>
      </c>
      <c r="E355" s="14" t="s">
        <v>662</v>
      </c>
      <c r="F355" s="14" t="s">
        <v>40</v>
      </c>
      <c r="G355" s="14" t="s">
        <v>146</v>
      </c>
      <c r="H355" s="13">
        <v>3.0</v>
      </c>
      <c r="I355" s="14" t="s">
        <v>42</v>
      </c>
      <c r="J355" s="15" t="s">
        <v>1416</v>
      </c>
      <c r="K355" s="14" t="str">
        <f t="shared" si="1"/>
        <v>02</v>
      </c>
      <c r="L355" s="14" t="s">
        <v>1417</v>
      </c>
      <c r="M355" s="14" t="s">
        <v>1494</v>
      </c>
      <c r="N355" s="14" t="s">
        <v>1495</v>
      </c>
      <c r="O355" s="14" t="s">
        <v>64</v>
      </c>
      <c r="P355" s="14" t="s">
        <v>1496</v>
      </c>
      <c r="Q355" s="16">
        <v>46266.0</v>
      </c>
    </row>
    <row r="356">
      <c r="A356" s="13">
        <v>355.0</v>
      </c>
      <c r="B356" s="14" t="s">
        <v>779</v>
      </c>
      <c r="C356" s="14" t="s">
        <v>780</v>
      </c>
      <c r="D356" s="14" t="s">
        <v>781</v>
      </c>
      <c r="E356" s="14" t="s">
        <v>782</v>
      </c>
      <c r="F356" s="14" t="s">
        <v>40</v>
      </c>
      <c r="G356" s="14" t="s">
        <v>146</v>
      </c>
      <c r="H356" s="13">
        <v>3.0</v>
      </c>
      <c r="I356" s="14" t="s">
        <v>61</v>
      </c>
      <c r="J356" s="15" t="s">
        <v>1416</v>
      </c>
      <c r="K356" s="14" t="str">
        <f t="shared" si="1"/>
        <v>02</v>
      </c>
      <c r="L356" s="14" t="s">
        <v>1417</v>
      </c>
      <c r="M356" s="14" t="s">
        <v>1497</v>
      </c>
      <c r="N356" s="14" t="s">
        <v>1498</v>
      </c>
      <c r="O356" s="14" t="s">
        <v>64</v>
      </c>
      <c r="P356" s="14" t="s">
        <v>1499</v>
      </c>
      <c r="Q356" s="16">
        <v>46274.0</v>
      </c>
    </row>
    <row r="357">
      <c r="A357" s="13">
        <v>356.0</v>
      </c>
      <c r="B357" s="14" t="s">
        <v>1097</v>
      </c>
      <c r="C357" s="14" t="s">
        <v>1098</v>
      </c>
      <c r="D357" s="14" t="s">
        <v>1099</v>
      </c>
      <c r="E357" s="14" t="s">
        <v>1100</v>
      </c>
      <c r="F357" s="14" t="s">
        <v>551</v>
      </c>
      <c r="G357" s="14" t="s">
        <v>146</v>
      </c>
      <c r="H357" s="13">
        <v>3.0</v>
      </c>
      <c r="I357" s="14" t="s">
        <v>61</v>
      </c>
      <c r="J357" s="15" t="s">
        <v>1416</v>
      </c>
      <c r="K357" s="14" t="str">
        <f t="shared" si="1"/>
        <v>02</v>
      </c>
      <c r="L357" s="14" t="s">
        <v>1417</v>
      </c>
      <c r="M357" s="14" t="s">
        <v>1500</v>
      </c>
      <c r="N357" s="14" t="s">
        <v>1501</v>
      </c>
      <c r="O357" s="14" t="s">
        <v>64</v>
      </c>
      <c r="P357" s="14" t="s">
        <v>1502</v>
      </c>
      <c r="Q357" s="16">
        <v>46196.0</v>
      </c>
    </row>
    <row r="358">
      <c r="A358" s="13">
        <v>357.0</v>
      </c>
      <c r="B358" s="14" t="s">
        <v>1326</v>
      </c>
      <c r="C358" s="14" t="s">
        <v>1098</v>
      </c>
      <c r="D358" s="14" t="s">
        <v>1099</v>
      </c>
      <c r="E358" s="14" t="s">
        <v>1327</v>
      </c>
      <c r="F358" s="14" t="s">
        <v>60</v>
      </c>
      <c r="G358" s="14" t="s">
        <v>146</v>
      </c>
      <c r="H358" s="13">
        <v>3.0</v>
      </c>
      <c r="I358" s="14" t="s">
        <v>61</v>
      </c>
      <c r="J358" s="15" t="s">
        <v>1416</v>
      </c>
      <c r="K358" s="14" t="str">
        <f t="shared" si="1"/>
        <v>02</v>
      </c>
      <c r="L358" s="14" t="s">
        <v>1417</v>
      </c>
      <c r="M358" s="14" t="s">
        <v>1503</v>
      </c>
      <c r="N358" s="14" t="s">
        <v>1504</v>
      </c>
      <c r="O358" s="16">
        <v>46286.0</v>
      </c>
      <c r="P358" s="14" t="s">
        <v>1505</v>
      </c>
      <c r="Q358" s="16">
        <v>46262.0</v>
      </c>
    </row>
    <row r="359">
      <c r="A359" s="13">
        <v>358.0</v>
      </c>
      <c r="B359" s="14" t="s">
        <v>893</v>
      </c>
      <c r="C359" s="14" t="s">
        <v>894</v>
      </c>
      <c r="D359" s="14" t="s">
        <v>895</v>
      </c>
      <c r="E359" s="14" t="s">
        <v>896</v>
      </c>
      <c r="F359" s="14" t="s">
        <v>551</v>
      </c>
      <c r="G359" s="14" t="s">
        <v>146</v>
      </c>
      <c r="H359" s="13">
        <v>3.0</v>
      </c>
      <c r="I359" s="14" t="s">
        <v>61</v>
      </c>
      <c r="J359" s="15" t="s">
        <v>1416</v>
      </c>
      <c r="K359" s="14" t="str">
        <f t="shared" si="1"/>
        <v>02</v>
      </c>
      <c r="L359" s="14" t="s">
        <v>1417</v>
      </c>
      <c r="M359" s="14" t="s">
        <v>1506</v>
      </c>
      <c r="N359" s="14" t="s">
        <v>1507</v>
      </c>
      <c r="O359" s="14" t="s">
        <v>64</v>
      </c>
      <c r="P359" s="14" t="s">
        <v>1508</v>
      </c>
      <c r="Q359" s="16">
        <v>46202.0</v>
      </c>
    </row>
    <row r="360">
      <c r="A360" s="13">
        <v>359.0</v>
      </c>
      <c r="B360" s="14" t="s">
        <v>900</v>
      </c>
      <c r="C360" s="14" t="s">
        <v>901</v>
      </c>
      <c r="D360" s="14" t="s">
        <v>902</v>
      </c>
      <c r="E360" s="14" t="s">
        <v>903</v>
      </c>
      <c r="F360" s="14" t="s">
        <v>40</v>
      </c>
      <c r="G360" s="14" t="s">
        <v>146</v>
      </c>
      <c r="H360" s="13">
        <v>3.0</v>
      </c>
      <c r="I360" s="14" t="s">
        <v>61</v>
      </c>
      <c r="J360" s="15" t="s">
        <v>1416</v>
      </c>
      <c r="K360" s="14" t="str">
        <f t="shared" si="1"/>
        <v>02</v>
      </c>
      <c r="L360" s="14" t="s">
        <v>1417</v>
      </c>
      <c r="M360" s="14" t="s">
        <v>1509</v>
      </c>
      <c r="N360" s="14" t="s">
        <v>1510</v>
      </c>
      <c r="O360" s="16">
        <v>46305.0</v>
      </c>
      <c r="P360" s="14" t="s">
        <v>1511</v>
      </c>
      <c r="Q360" s="16">
        <v>46273.0</v>
      </c>
    </row>
    <row r="361">
      <c r="A361" s="13">
        <v>360.0</v>
      </c>
      <c r="B361" s="14" t="s">
        <v>150</v>
      </c>
      <c r="C361" s="14" t="s">
        <v>151</v>
      </c>
      <c r="D361" s="14" t="s">
        <v>152</v>
      </c>
      <c r="E361" s="14" t="s">
        <v>153</v>
      </c>
      <c r="F361" s="14" t="s">
        <v>154</v>
      </c>
      <c r="G361" s="14" t="s">
        <v>146</v>
      </c>
      <c r="H361" s="13">
        <v>3.0</v>
      </c>
      <c r="I361" s="14" t="s">
        <v>42</v>
      </c>
      <c r="J361" s="15" t="s">
        <v>1416</v>
      </c>
      <c r="K361" s="14" t="str">
        <f t="shared" si="1"/>
        <v>02</v>
      </c>
      <c r="L361" s="14" t="s">
        <v>1417</v>
      </c>
      <c r="M361" s="14" t="s">
        <v>1512</v>
      </c>
      <c r="N361" s="14" t="s">
        <v>1513</v>
      </c>
      <c r="O361" s="14" t="s">
        <v>64</v>
      </c>
      <c r="P361" s="14" t="s">
        <v>1514</v>
      </c>
      <c r="Q361" s="16">
        <v>46239.0</v>
      </c>
    </row>
    <row r="362">
      <c r="A362" s="13">
        <v>361.0</v>
      </c>
      <c r="B362" s="14" t="s">
        <v>158</v>
      </c>
      <c r="C362" s="14" t="s">
        <v>159</v>
      </c>
      <c r="D362" s="14" t="s">
        <v>160</v>
      </c>
      <c r="E362" s="14" t="s">
        <v>161</v>
      </c>
      <c r="F362" s="14" t="s">
        <v>162</v>
      </c>
      <c r="G362" s="14" t="s">
        <v>146</v>
      </c>
      <c r="H362" s="13">
        <v>3.0</v>
      </c>
      <c r="I362" s="14" t="s">
        <v>42</v>
      </c>
      <c r="J362" s="15" t="s">
        <v>1416</v>
      </c>
      <c r="K362" s="14" t="str">
        <f t="shared" si="1"/>
        <v>02</v>
      </c>
      <c r="L362" s="14" t="s">
        <v>1417</v>
      </c>
      <c r="M362" s="14" t="s">
        <v>1515</v>
      </c>
      <c r="N362" s="14" t="s">
        <v>1516</v>
      </c>
      <c r="O362" s="14" t="s">
        <v>64</v>
      </c>
      <c r="P362" s="14" t="s">
        <v>1517</v>
      </c>
      <c r="Q362" s="16">
        <v>46275.0</v>
      </c>
    </row>
    <row r="363">
      <c r="A363" s="13">
        <v>362.0</v>
      </c>
      <c r="B363" s="14" t="s">
        <v>547</v>
      </c>
      <c r="C363" s="14" t="s">
        <v>548</v>
      </c>
      <c r="D363" s="14" t="s">
        <v>549</v>
      </c>
      <c r="E363" s="14" t="s">
        <v>550</v>
      </c>
      <c r="F363" s="14" t="s">
        <v>551</v>
      </c>
      <c r="G363" s="14" t="s">
        <v>146</v>
      </c>
      <c r="H363" s="13">
        <v>3.0</v>
      </c>
      <c r="I363" s="14" t="s">
        <v>61</v>
      </c>
      <c r="J363" s="15" t="s">
        <v>1416</v>
      </c>
      <c r="K363" s="14" t="str">
        <f t="shared" si="1"/>
        <v>02</v>
      </c>
      <c r="L363" s="14" t="s">
        <v>1417</v>
      </c>
      <c r="M363" s="14" t="s">
        <v>1518</v>
      </c>
      <c r="N363" s="14" t="s">
        <v>555</v>
      </c>
      <c r="O363" s="14" t="s">
        <v>64</v>
      </c>
      <c r="P363" s="14" t="s">
        <v>1519</v>
      </c>
      <c r="Q363" s="16">
        <v>46225.0</v>
      </c>
    </row>
    <row r="364">
      <c r="A364" s="13">
        <v>363.0</v>
      </c>
      <c r="B364" s="14" t="s">
        <v>1338</v>
      </c>
      <c r="C364" s="14" t="s">
        <v>1339</v>
      </c>
      <c r="D364" s="14" t="s">
        <v>1340</v>
      </c>
      <c r="E364" s="14" t="s">
        <v>1341</v>
      </c>
      <c r="F364" s="14" t="s">
        <v>178</v>
      </c>
      <c r="G364" s="14" t="s">
        <v>146</v>
      </c>
      <c r="H364" s="13">
        <v>3.0</v>
      </c>
      <c r="I364" s="14" t="s">
        <v>61</v>
      </c>
      <c r="J364" s="15" t="s">
        <v>1416</v>
      </c>
      <c r="K364" s="14" t="str">
        <f t="shared" si="1"/>
        <v>02</v>
      </c>
      <c r="L364" s="14" t="s">
        <v>1417</v>
      </c>
      <c r="M364" s="14" t="s">
        <v>1520</v>
      </c>
      <c r="N364" s="14" t="s">
        <v>1521</v>
      </c>
      <c r="O364" s="14" t="s">
        <v>64</v>
      </c>
      <c r="P364" s="14" t="s">
        <v>1522</v>
      </c>
      <c r="Q364" s="16">
        <v>46241.0</v>
      </c>
    </row>
    <row r="365">
      <c r="A365" s="13">
        <v>364.0</v>
      </c>
      <c r="B365" s="14" t="s">
        <v>174</v>
      </c>
      <c r="C365" s="14" t="s">
        <v>175</v>
      </c>
      <c r="D365" s="14" t="s">
        <v>176</v>
      </c>
      <c r="E365" s="14" t="s">
        <v>177</v>
      </c>
      <c r="F365" s="14" t="s">
        <v>178</v>
      </c>
      <c r="G365" s="14" t="s">
        <v>146</v>
      </c>
      <c r="H365" s="13">
        <v>3.0</v>
      </c>
      <c r="I365" s="14" t="s">
        <v>42</v>
      </c>
      <c r="J365" s="15" t="s">
        <v>1416</v>
      </c>
      <c r="K365" s="14" t="str">
        <f t="shared" si="1"/>
        <v>02</v>
      </c>
      <c r="L365" s="14" t="s">
        <v>1417</v>
      </c>
      <c r="M365" s="14" t="s">
        <v>1523</v>
      </c>
      <c r="N365" s="14" t="s">
        <v>1524</v>
      </c>
      <c r="O365" s="16">
        <v>46297.0</v>
      </c>
      <c r="Q365" s="16">
        <v>46195.0</v>
      </c>
    </row>
    <row r="366">
      <c r="A366" s="13">
        <v>365.0</v>
      </c>
      <c r="B366" s="14" t="s">
        <v>715</v>
      </c>
      <c r="C366" s="14" t="s">
        <v>716</v>
      </c>
      <c r="D366" s="14" t="s">
        <v>717</v>
      </c>
      <c r="E366" s="14" t="s">
        <v>718</v>
      </c>
      <c r="F366" s="14" t="s">
        <v>178</v>
      </c>
      <c r="G366" s="14" t="s">
        <v>146</v>
      </c>
      <c r="H366" s="13">
        <v>3.0</v>
      </c>
      <c r="I366" s="14" t="s">
        <v>42</v>
      </c>
      <c r="J366" s="15" t="s">
        <v>1416</v>
      </c>
      <c r="K366" s="14" t="str">
        <f t="shared" si="1"/>
        <v>02</v>
      </c>
      <c r="L366" s="14" t="s">
        <v>1417</v>
      </c>
      <c r="M366" s="14" t="s">
        <v>1525</v>
      </c>
      <c r="N366" s="14" t="s">
        <v>1524</v>
      </c>
      <c r="O366" s="16">
        <v>46304.0</v>
      </c>
      <c r="Q366" s="16">
        <v>46205.0</v>
      </c>
    </row>
    <row r="367">
      <c r="A367" s="13">
        <v>366.0</v>
      </c>
      <c r="B367" s="14" t="s">
        <v>181</v>
      </c>
      <c r="C367" s="14" t="s">
        <v>182</v>
      </c>
      <c r="D367" s="14" t="s">
        <v>183</v>
      </c>
      <c r="E367" s="14" t="s">
        <v>184</v>
      </c>
      <c r="F367" s="14" t="s">
        <v>40</v>
      </c>
      <c r="G367" s="14" t="s">
        <v>146</v>
      </c>
      <c r="H367" s="13">
        <v>3.0</v>
      </c>
      <c r="I367" s="14" t="s">
        <v>42</v>
      </c>
      <c r="J367" s="15" t="s">
        <v>1416</v>
      </c>
      <c r="K367" s="14" t="str">
        <f t="shared" si="1"/>
        <v>02</v>
      </c>
      <c r="L367" s="14" t="s">
        <v>1417</v>
      </c>
      <c r="M367" s="14" t="s">
        <v>1526</v>
      </c>
      <c r="N367" s="14" t="s">
        <v>1527</v>
      </c>
      <c r="O367" s="16">
        <v>46304.0</v>
      </c>
      <c r="P367" s="14" t="s">
        <v>1528</v>
      </c>
      <c r="Q367" s="16">
        <v>46198.0</v>
      </c>
    </row>
    <row r="368">
      <c r="A368" s="13">
        <v>367.0</v>
      </c>
      <c r="B368" s="14" t="s">
        <v>1529</v>
      </c>
      <c r="C368" s="14" t="s">
        <v>1530</v>
      </c>
      <c r="D368" s="14" t="s">
        <v>1531</v>
      </c>
      <c r="E368" s="14" t="s">
        <v>1532</v>
      </c>
      <c r="F368" s="14" t="s">
        <v>60</v>
      </c>
      <c r="G368" s="14" t="s">
        <v>146</v>
      </c>
      <c r="H368" s="13">
        <v>3.0</v>
      </c>
      <c r="I368" s="14" t="s">
        <v>61</v>
      </c>
      <c r="J368" s="15" t="s">
        <v>1416</v>
      </c>
      <c r="K368" s="14" t="str">
        <f t="shared" si="1"/>
        <v>02</v>
      </c>
      <c r="L368" s="14" t="s">
        <v>1417</v>
      </c>
      <c r="M368" s="14" t="s">
        <v>1533</v>
      </c>
      <c r="N368" s="14" t="s">
        <v>1534</v>
      </c>
      <c r="O368" s="14" t="s">
        <v>64</v>
      </c>
      <c r="P368" s="14" t="s">
        <v>1535</v>
      </c>
      <c r="Q368" s="16">
        <v>46206.0</v>
      </c>
    </row>
    <row r="369">
      <c r="A369" s="13">
        <v>368.0</v>
      </c>
      <c r="B369" s="14" t="s">
        <v>723</v>
      </c>
      <c r="C369" s="14" t="s">
        <v>724</v>
      </c>
      <c r="D369" s="14" t="s">
        <v>725</v>
      </c>
      <c r="E369" s="14" t="s">
        <v>726</v>
      </c>
      <c r="F369" s="14" t="s">
        <v>162</v>
      </c>
      <c r="G369" s="14" t="s">
        <v>146</v>
      </c>
      <c r="H369" s="13">
        <v>3.0</v>
      </c>
      <c r="I369" s="14" t="s">
        <v>42</v>
      </c>
      <c r="J369" s="15" t="s">
        <v>1416</v>
      </c>
      <c r="K369" s="14" t="str">
        <f t="shared" si="1"/>
        <v>02</v>
      </c>
      <c r="L369" s="14" t="s">
        <v>1417</v>
      </c>
      <c r="M369" s="14" t="s">
        <v>1536</v>
      </c>
      <c r="N369" s="14" t="s">
        <v>1537</v>
      </c>
      <c r="O369" s="16">
        <v>46310.0</v>
      </c>
      <c r="Q369" s="16">
        <v>46198.0</v>
      </c>
    </row>
    <row r="370">
      <c r="A370" s="13">
        <v>369.0</v>
      </c>
      <c r="B370" s="14" t="s">
        <v>1538</v>
      </c>
      <c r="C370" s="14" t="s">
        <v>1539</v>
      </c>
      <c r="D370" s="14" t="s">
        <v>1540</v>
      </c>
      <c r="E370" s="14" t="s">
        <v>1541</v>
      </c>
      <c r="F370" s="14" t="s">
        <v>60</v>
      </c>
      <c r="G370" s="14" t="s">
        <v>146</v>
      </c>
      <c r="H370" s="13">
        <v>3.0</v>
      </c>
      <c r="I370" s="14" t="s">
        <v>61</v>
      </c>
      <c r="J370" s="15" t="s">
        <v>1416</v>
      </c>
      <c r="K370" s="14" t="str">
        <f t="shared" si="1"/>
        <v>02</v>
      </c>
      <c r="L370" s="14" t="s">
        <v>1417</v>
      </c>
      <c r="M370" s="14" t="s">
        <v>1542</v>
      </c>
      <c r="N370" s="14" t="s">
        <v>1543</v>
      </c>
      <c r="O370" s="14" t="s">
        <v>64</v>
      </c>
      <c r="P370" s="14" t="s">
        <v>1544</v>
      </c>
      <c r="Q370" s="16">
        <v>46206.0</v>
      </c>
    </row>
    <row r="371">
      <c r="A371" s="13">
        <v>370.0</v>
      </c>
      <c r="B371" s="14" t="s">
        <v>1545</v>
      </c>
      <c r="C371" s="14" t="s">
        <v>1546</v>
      </c>
      <c r="D371" s="14" t="s">
        <v>1547</v>
      </c>
      <c r="E371" s="14" t="s">
        <v>1548</v>
      </c>
      <c r="F371" s="14" t="s">
        <v>60</v>
      </c>
      <c r="G371" s="14" t="s">
        <v>146</v>
      </c>
      <c r="H371" s="13">
        <v>3.0</v>
      </c>
      <c r="I371" s="14" t="s">
        <v>61</v>
      </c>
      <c r="J371" s="15" t="s">
        <v>1416</v>
      </c>
      <c r="K371" s="14" t="str">
        <f t="shared" si="1"/>
        <v>02</v>
      </c>
      <c r="L371" s="14" t="s">
        <v>1417</v>
      </c>
      <c r="M371" s="14" t="s">
        <v>1549</v>
      </c>
      <c r="N371" s="14" t="s">
        <v>1550</v>
      </c>
      <c r="O371" s="14" t="s">
        <v>64</v>
      </c>
      <c r="P371" s="14" t="s">
        <v>1551</v>
      </c>
      <c r="Q371" s="16">
        <v>46233.0</v>
      </c>
    </row>
    <row r="372">
      <c r="A372" s="13">
        <v>371.0</v>
      </c>
      <c r="B372" s="14" t="s">
        <v>1552</v>
      </c>
      <c r="C372" s="14" t="s">
        <v>1553</v>
      </c>
      <c r="D372" s="14" t="s">
        <v>1554</v>
      </c>
      <c r="E372" s="14" t="s">
        <v>1555</v>
      </c>
      <c r="F372" s="14" t="s">
        <v>60</v>
      </c>
      <c r="G372" s="14" t="s">
        <v>146</v>
      </c>
      <c r="H372" s="13">
        <v>3.0</v>
      </c>
      <c r="I372" s="14" t="s">
        <v>61</v>
      </c>
      <c r="J372" s="15" t="s">
        <v>1416</v>
      </c>
      <c r="K372" s="14" t="str">
        <f t="shared" si="1"/>
        <v>02</v>
      </c>
      <c r="L372" s="14" t="s">
        <v>1417</v>
      </c>
      <c r="M372" s="14" t="s">
        <v>1556</v>
      </c>
      <c r="N372" s="14" t="s">
        <v>1557</v>
      </c>
      <c r="O372" s="14" t="s">
        <v>64</v>
      </c>
      <c r="P372" s="14" t="s">
        <v>1558</v>
      </c>
      <c r="Q372" s="16">
        <v>46213.0</v>
      </c>
    </row>
    <row r="373">
      <c r="A373" s="13">
        <v>372.0</v>
      </c>
      <c r="B373" s="14" t="s">
        <v>1552</v>
      </c>
      <c r="C373" s="14" t="s">
        <v>1553</v>
      </c>
      <c r="D373" s="14" t="s">
        <v>1554</v>
      </c>
      <c r="E373" s="14" t="s">
        <v>1559</v>
      </c>
      <c r="F373" s="14" t="s">
        <v>178</v>
      </c>
      <c r="G373" s="14" t="s">
        <v>146</v>
      </c>
      <c r="H373" s="13">
        <v>3.0</v>
      </c>
      <c r="I373" s="14" t="s">
        <v>61</v>
      </c>
      <c r="J373" s="15" t="s">
        <v>1416</v>
      </c>
      <c r="K373" s="14" t="str">
        <f t="shared" si="1"/>
        <v>02</v>
      </c>
      <c r="L373" s="14" t="s">
        <v>1417</v>
      </c>
      <c r="M373" s="14" t="s">
        <v>1556</v>
      </c>
      <c r="N373" s="14" t="s">
        <v>1557</v>
      </c>
      <c r="O373" s="14" t="s">
        <v>64</v>
      </c>
      <c r="P373" s="14" t="s">
        <v>1558</v>
      </c>
      <c r="Q373" s="16">
        <v>46213.0</v>
      </c>
    </row>
    <row r="374">
      <c r="A374" s="13">
        <v>373.0</v>
      </c>
      <c r="B374" s="14" t="s">
        <v>379</v>
      </c>
      <c r="C374" s="14" t="s">
        <v>380</v>
      </c>
      <c r="D374" s="14" t="s">
        <v>381</v>
      </c>
      <c r="E374" s="14" t="s">
        <v>382</v>
      </c>
      <c r="F374" s="14" t="s">
        <v>60</v>
      </c>
      <c r="G374" s="14" t="s">
        <v>146</v>
      </c>
      <c r="H374" s="13">
        <v>3.0</v>
      </c>
      <c r="I374" s="14" t="s">
        <v>42</v>
      </c>
      <c r="J374" s="15" t="s">
        <v>1416</v>
      </c>
      <c r="K374" s="14" t="str">
        <f t="shared" si="1"/>
        <v>02</v>
      </c>
      <c r="L374" s="14" t="s">
        <v>1417</v>
      </c>
      <c r="M374" s="14" t="s">
        <v>1536</v>
      </c>
      <c r="N374" s="14" t="s">
        <v>1560</v>
      </c>
      <c r="O374" s="16">
        <v>46310.0</v>
      </c>
      <c r="Q374" s="16">
        <v>46205.0</v>
      </c>
    </row>
    <row r="375">
      <c r="A375" s="13">
        <v>374.0</v>
      </c>
      <c r="B375" s="14" t="s">
        <v>385</v>
      </c>
      <c r="C375" s="14" t="s">
        <v>386</v>
      </c>
      <c r="D375" s="14" t="s">
        <v>387</v>
      </c>
      <c r="E375" s="14" t="s">
        <v>388</v>
      </c>
      <c r="F375" s="14" t="s">
        <v>40</v>
      </c>
      <c r="G375" s="14" t="s">
        <v>191</v>
      </c>
      <c r="H375" s="13">
        <v>3.0</v>
      </c>
      <c r="I375" s="14" t="s">
        <v>42</v>
      </c>
      <c r="J375" s="15" t="s">
        <v>1416</v>
      </c>
      <c r="K375" s="14" t="str">
        <f t="shared" si="1"/>
        <v>02</v>
      </c>
      <c r="L375" s="14" t="s">
        <v>1417</v>
      </c>
      <c r="M375" s="14" t="s">
        <v>1561</v>
      </c>
      <c r="N375" s="14" t="s">
        <v>1562</v>
      </c>
      <c r="O375" s="16">
        <v>46290.0</v>
      </c>
      <c r="Q375" s="16">
        <v>46211.0</v>
      </c>
    </row>
    <row r="376">
      <c r="A376" s="13">
        <v>375.0</v>
      </c>
      <c r="B376" s="14" t="s">
        <v>625</v>
      </c>
      <c r="C376" s="14" t="s">
        <v>626</v>
      </c>
      <c r="D376" s="14" t="s">
        <v>627</v>
      </c>
      <c r="E376" s="14" t="s">
        <v>628</v>
      </c>
      <c r="F376" s="14" t="s">
        <v>60</v>
      </c>
      <c r="G376" s="14" t="s">
        <v>191</v>
      </c>
      <c r="H376" s="13">
        <v>3.0</v>
      </c>
      <c r="I376" s="14" t="s">
        <v>61</v>
      </c>
      <c r="J376" s="15" t="s">
        <v>1416</v>
      </c>
      <c r="K376" s="14" t="str">
        <f t="shared" si="1"/>
        <v>02</v>
      </c>
      <c r="L376" s="14" t="s">
        <v>1417</v>
      </c>
      <c r="M376" s="14" t="s">
        <v>1563</v>
      </c>
      <c r="N376" s="14" t="s">
        <v>1562</v>
      </c>
      <c r="O376" s="14" t="s">
        <v>64</v>
      </c>
      <c r="P376" s="14" t="s">
        <v>1564</v>
      </c>
      <c r="Q376" s="16">
        <v>46220.0</v>
      </c>
    </row>
    <row r="377">
      <c r="A377" s="13">
        <v>376.0</v>
      </c>
      <c r="B377" s="14" t="s">
        <v>1170</v>
      </c>
      <c r="C377" s="14" t="s">
        <v>1171</v>
      </c>
      <c r="D377" s="14" t="s">
        <v>1172</v>
      </c>
      <c r="E377" s="14" t="s">
        <v>1173</v>
      </c>
      <c r="F377" s="14" t="s">
        <v>178</v>
      </c>
      <c r="G377" s="14" t="s">
        <v>191</v>
      </c>
      <c r="H377" s="13">
        <v>3.0</v>
      </c>
      <c r="I377" s="14" t="s">
        <v>61</v>
      </c>
      <c r="J377" s="15" t="s">
        <v>1416</v>
      </c>
      <c r="K377" s="14" t="str">
        <f t="shared" si="1"/>
        <v>02</v>
      </c>
      <c r="L377" s="14" t="s">
        <v>1417</v>
      </c>
      <c r="M377" s="14" t="s">
        <v>1565</v>
      </c>
      <c r="N377" s="14" t="s">
        <v>1562</v>
      </c>
      <c r="O377" s="14" t="s">
        <v>64</v>
      </c>
      <c r="P377" s="14" t="s">
        <v>1566</v>
      </c>
      <c r="Q377" s="16">
        <v>46279.0</v>
      </c>
    </row>
    <row r="378">
      <c r="A378" s="13">
        <v>377.0</v>
      </c>
      <c r="B378" s="14" t="s">
        <v>1114</v>
      </c>
      <c r="C378" s="14" t="s">
        <v>1115</v>
      </c>
      <c r="D378" s="14" t="s">
        <v>1116</v>
      </c>
      <c r="E378" s="14" t="s">
        <v>1117</v>
      </c>
      <c r="F378" s="14" t="s">
        <v>543</v>
      </c>
      <c r="G378" s="14" t="s">
        <v>191</v>
      </c>
      <c r="H378" s="13">
        <v>3.0</v>
      </c>
      <c r="I378" s="14" t="s">
        <v>42</v>
      </c>
      <c r="J378" s="15" t="s">
        <v>1416</v>
      </c>
      <c r="K378" s="14" t="str">
        <f t="shared" si="1"/>
        <v>02</v>
      </c>
      <c r="L378" s="14" t="s">
        <v>1417</v>
      </c>
      <c r="M378" s="14" t="s">
        <v>1567</v>
      </c>
      <c r="N378" s="14" t="s">
        <v>1568</v>
      </c>
      <c r="O378" s="16">
        <v>46288.0</v>
      </c>
      <c r="P378" s="14" t="s">
        <v>1569</v>
      </c>
      <c r="Q378" s="16">
        <v>46288.0</v>
      </c>
    </row>
    <row r="379">
      <c r="A379" s="13">
        <v>378.0</v>
      </c>
      <c r="B379" s="14" t="s">
        <v>392</v>
      </c>
      <c r="C379" s="14" t="s">
        <v>393</v>
      </c>
      <c r="D379" s="14" t="s">
        <v>394</v>
      </c>
      <c r="E379" s="14" t="s">
        <v>395</v>
      </c>
      <c r="F379" s="14" t="s">
        <v>40</v>
      </c>
      <c r="G379" s="14" t="s">
        <v>191</v>
      </c>
      <c r="H379" s="13">
        <v>3.0</v>
      </c>
      <c r="I379" s="14" t="s">
        <v>42</v>
      </c>
      <c r="J379" s="15" t="s">
        <v>1416</v>
      </c>
      <c r="K379" s="14" t="str">
        <f t="shared" si="1"/>
        <v>02</v>
      </c>
      <c r="L379" s="14" t="s">
        <v>1417</v>
      </c>
      <c r="M379" s="14" t="s">
        <v>1570</v>
      </c>
      <c r="N379" s="14" t="s">
        <v>1571</v>
      </c>
      <c r="O379" s="16">
        <v>46299.0</v>
      </c>
      <c r="P379" s="14" t="s">
        <v>1572</v>
      </c>
      <c r="Q379" s="16">
        <v>46287.0</v>
      </c>
    </row>
    <row r="380">
      <c r="A380" s="13">
        <v>379.0</v>
      </c>
      <c r="B380" s="14" t="s">
        <v>187</v>
      </c>
      <c r="C380" s="14" t="s">
        <v>188</v>
      </c>
      <c r="D380" s="14" t="s">
        <v>189</v>
      </c>
      <c r="E380" s="14" t="s">
        <v>190</v>
      </c>
      <c r="F380" s="14" t="s">
        <v>40</v>
      </c>
      <c r="G380" s="14" t="s">
        <v>191</v>
      </c>
      <c r="H380" s="13">
        <v>3.0</v>
      </c>
      <c r="I380" s="14" t="s">
        <v>61</v>
      </c>
      <c r="J380" s="15" t="s">
        <v>1416</v>
      </c>
      <c r="K380" s="14" t="str">
        <f t="shared" si="1"/>
        <v>02</v>
      </c>
      <c r="L380" s="14" t="s">
        <v>1417</v>
      </c>
      <c r="M380" s="14" t="s">
        <v>1573</v>
      </c>
      <c r="N380" s="14" t="s">
        <v>1574</v>
      </c>
      <c r="O380" s="14" t="s">
        <v>64</v>
      </c>
      <c r="P380" s="14" t="s">
        <v>1575</v>
      </c>
      <c r="Q380" s="16">
        <v>46248.0</v>
      </c>
    </row>
    <row r="381">
      <c r="A381" s="13">
        <v>380.0</v>
      </c>
      <c r="B381" s="14" t="s">
        <v>196</v>
      </c>
      <c r="C381" s="14" t="s">
        <v>197</v>
      </c>
      <c r="D381" s="14" t="s">
        <v>198</v>
      </c>
      <c r="E381" s="14" t="s">
        <v>1006</v>
      </c>
      <c r="F381" s="14" t="s">
        <v>543</v>
      </c>
      <c r="G381" s="14" t="s">
        <v>191</v>
      </c>
      <c r="H381" s="13">
        <v>3.0</v>
      </c>
      <c r="I381" s="14" t="s">
        <v>42</v>
      </c>
      <c r="J381" s="15" t="s">
        <v>1416</v>
      </c>
      <c r="K381" s="14" t="str">
        <f t="shared" si="1"/>
        <v>02</v>
      </c>
      <c r="L381" s="14" t="s">
        <v>1417</v>
      </c>
      <c r="M381" s="14" t="s">
        <v>1576</v>
      </c>
      <c r="N381" s="14" t="s">
        <v>1577</v>
      </c>
      <c r="O381" s="16">
        <v>46294.0</v>
      </c>
      <c r="Q381" s="16">
        <v>46217.0</v>
      </c>
    </row>
    <row r="382">
      <c r="A382" s="13">
        <v>381.0</v>
      </c>
      <c r="B382" s="14" t="s">
        <v>196</v>
      </c>
      <c r="C382" s="14" t="s">
        <v>197</v>
      </c>
      <c r="D382" s="14" t="s">
        <v>198</v>
      </c>
      <c r="E382" s="14" t="s">
        <v>488</v>
      </c>
      <c r="F382" s="14" t="s">
        <v>489</v>
      </c>
      <c r="G382" s="14" t="s">
        <v>191</v>
      </c>
      <c r="H382" s="13">
        <v>3.0</v>
      </c>
      <c r="I382" s="14" t="s">
        <v>42</v>
      </c>
      <c r="J382" s="15" t="s">
        <v>1416</v>
      </c>
      <c r="K382" s="14" t="str">
        <f t="shared" si="1"/>
        <v>02</v>
      </c>
      <c r="L382" s="14" t="s">
        <v>1417</v>
      </c>
      <c r="M382" s="14" t="s">
        <v>1578</v>
      </c>
      <c r="N382" s="14" t="s">
        <v>1579</v>
      </c>
      <c r="O382" s="16">
        <v>46289.0</v>
      </c>
      <c r="Q382" s="16">
        <v>46217.0</v>
      </c>
    </row>
    <row r="383">
      <c r="A383" s="13">
        <v>382.0</v>
      </c>
      <c r="B383" s="14" t="s">
        <v>1350</v>
      </c>
      <c r="C383" s="14" t="s">
        <v>1351</v>
      </c>
      <c r="D383" s="14" t="s">
        <v>1352</v>
      </c>
      <c r="E383" s="14" t="s">
        <v>1353</v>
      </c>
      <c r="F383" s="14" t="s">
        <v>154</v>
      </c>
      <c r="G383" s="14" t="s">
        <v>191</v>
      </c>
      <c r="H383" s="13">
        <v>3.0</v>
      </c>
      <c r="I383" s="14" t="s">
        <v>42</v>
      </c>
      <c r="J383" s="15" t="s">
        <v>1416</v>
      </c>
      <c r="K383" s="14" t="str">
        <f t="shared" si="1"/>
        <v>02</v>
      </c>
      <c r="L383" s="14" t="s">
        <v>1417</v>
      </c>
      <c r="M383" s="14" t="s">
        <v>1580</v>
      </c>
      <c r="N383" s="14" t="s">
        <v>1581</v>
      </c>
      <c r="O383" s="16">
        <v>46290.0</v>
      </c>
      <c r="P383" s="14" t="s">
        <v>1582</v>
      </c>
      <c r="Q383" s="16">
        <v>46280.0</v>
      </c>
    </row>
    <row r="384">
      <c r="A384" s="13">
        <v>383.0</v>
      </c>
      <c r="B384" s="14" t="s">
        <v>567</v>
      </c>
      <c r="C384" s="14" t="s">
        <v>568</v>
      </c>
      <c r="D384" s="14" t="s">
        <v>569</v>
      </c>
      <c r="E384" s="14" t="s">
        <v>570</v>
      </c>
      <c r="F384" s="14" t="s">
        <v>489</v>
      </c>
      <c r="G384" s="14" t="s">
        <v>191</v>
      </c>
      <c r="H384" s="13">
        <v>3.0</v>
      </c>
      <c r="I384" s="14" t="s">
        <v>61</v>
      </c>
      <c r="J384" s="15" t="s">
        <v>1416</v>
      </c>
      <c r="K384" s="14" t="str">
        <f t="shared" si="1"/>
        <v>02</v>
      </c>
      <c r="L384" s="14" t="s">
        <v>1417</v>
      </c>
      <c r="M384" s="14" t="s">
        <v>1583</v>
      </c>
      <c r="N384" s="14" t="s">
        <v>572</v>
      </c>
      <c r="O384" s="14" t="s">
        <v>64</v>
      </c>
      <c r="P384" s="14" t="s">
        <v>1584</v>
      </c>
      <c r="Q384" s="16">
        <v>46247.0</v>
      </c>
    </row>
    <row r="385">
      <c r="A385" s="13">
        <v>384.0</v>
      </c>
      <c r="B385" s="14" t="s">
        <v>1585</v>
      </c>
      <c r="C385" s="14" t="s">
        <v>1586</v>
      </c>
      <c r="D385" s="14" t="s">
        <v>1587</v>
      </c>
      <c r="E385" s="14" t="s">
        <v>1588</v>
      </c>
      <c r="F385" s="14" t="s">
        <v>207</v>
      </c>
      <c r="G385" s="14" t="s">
        <v>191</v>
      </c>
      <c r="H385" s="13">
        <v>3.0</v>
      </c>
      <c r="I385" s="14" t="s">
        <v>61</v>
      </c>
      <c r="J385" s="15" t="s">
        <v>1416</v>
      </c>
      <c r="K385" s="14" t="str">
        <f t="shared" si="1"/>
        <v>02</v>
      </c>
      <c r="L385" s="14" t="s">
        <v>1417</v>
      </c>
      <c r="M385" s="14" t="s">
        <v>1589</v>
      </c>
      <c r="N385" s="14" t="s">
        <v>1590</v>
      </c>
      <c r="O385" s="14" t="s">
        <v>64</v>
      </c>
      <c r="P385" s="14" t="s">
        <v>1591</v>
      </c>
      <c r="Q385" s="16">
        <v>46233.0</v>
      </c>
    </row>
    <row r="386">
      <c r="A386" s="13">
        <v>385.0</v>
      </c>
      <c r="B386" s="14" t="s">
        <v>1592</v>
      </c>
      <c r="C386" s="14" t="s">
        <v>1593</v>
      </c>
      <c r="D386" s="14" t="s">
        <v>1594</v>
      </c>
      <c r="E386" s="14" t="s">
        <v>1595</v>
      </c>
      <c r="F386" s="14" t="s">
        <v>207</v>
      </c>
      <c r="G386" s="14" t="s">
        <v>191</v>
      </c>
      <c r="H386" s="13">
        <v>3.0</v>
      </c>
      <c r="I386" s="14" t="s">
        <v>42</v>
      </c>
      <c r="J386" s="15" t="s">
        <v>1416</v>
      </c>
      <c r="K386" s="14" t="str">
        <f t="shared" si="1"/>
        <v>02</v>
      </c>
      <c r="L386" s="14" t="s">
        <v>1417</v>
      </c>
      <c r="M386" s="14" t="s">
        <v>1596</v>
      </c>
      <c r="N386" s="14" t="s">
        <v>1597</v>
      </c>
      <c r="O386" s="16">
        <v>46297.0</v>
      </c>
      <c r="P386" s="14" t="s">
        <v>1598</v>
      </c>
      <c r="Q386" s="16">
        <v>46287.0</v>
      </c>
    </row>
    <row r="387">
      <c r="A387" s="13">
        <v>386.0</v>
      </c>
      <c r="B387" s="14" t="s">
        <v>211</v>
      </c>
      <c r="C387" s="14" t="s">
        <v>212</v>
      </c>
      <c r="D387" s="14" t="s">
        <v>213</v>
      </c>
      <c r="E387" s="14" t="s">
        <v>214</v>
      </c>
      <c r="F387" s="14" t="s">
        <v>60</v>
      </c>
      <c r="G387" s="14" t="s">
        <v>191</v>
      </c>
      <c r="H387" s="13">
        <v>3.0</v>
      </c>
      <c r="I387" s="14" t="s">
        <v>42</v>
      </c>
      <c r="J387" s="15" t="s">
        <v>1416</v>
      </c>
      <c r="K387" s="14" t="str">
        <f t="shared" si="1"/>
        <v>02</v>
      </c>
      <c r="L387" s="14" t="s">
        <v>1417</v>
      </c>
      <c r="M387" s="14" t="s">
        <v>1599</v>
      </c>
      <c r="N387" s="14" t="s">
        <v>1600</v>
      </c>
      <c r="O387" s="16">
        <v>46290.0</v>
      </c>
      <c r="Q387" s="16">
        <v>46224.0</v>
      </c>
    </row>
    <row r="388">
      <c r="A388" s="13">
        <v>387.0</v>
      </c>
      <c r="B388" s="14" t="s">
        <v>632</v>
      </c>
      <c r="C388" s="14" t="s">
        <v>633</v>
      </c>
      <c r="D388" s="14" t="s">
        <v>634</v>
      </c>
      <c r="E388" s="14" t="s">
        <v>635</v>
      </c>
      <c r="F388" s="14" t="s">
        <v>60</v>
      </c>
      <c r="G388" s="14" t="s">
        <v>191</v>
      </c>
      <c r="H388" s="13">
        <v>3.0</v>
      </c>
      <c r="I388" s="14" t="s">
        <v>42</v>
      </c>
      <c r="J388" s="15" t="s">
        <v>1416</v>
      </c>
      <c r="K388" s="14" t="str">
        <f t="shared" si="1"/>
        <v>02</v>
      </c>
      <c r="L388" s="14" t="s">
        <v>1417</v>
      </c>
      <c r="M388" s="14" t="s">
        <v>1601</v>
      </c>
      <c r="N388" s="14" t="s">
        <v>1602</v>
      </c>
      <c r="O388" s="16">
        <v>46290.0</v>
      </c>
      <c r="Q388" s="16">
        <v>46224.0</v>
      </c>
    </row>
    <row r="389">
      <c r="A389" s="13">
        <v>388.0</v>
      </c>
      <c r="B389" s="14" t="s">
        <v>929</v>
      </c>
      <c r="C389" s="14" t="s">
        <v>930</v>
      </c>
      <c r="D389" s="14" t="s">
        <v>931</v>
      </c>
      <c r="E389" s="14" t="s">
        <v>932</v>
      </c>
      <c r="F389" s="14" t="s">
        <v>40</v>
      </c>
      <c r="G389" s="14" t="s">
        <v>222</v>
      </c>
      <c r="H389" s="13">
        <v>3.0</v>
      </c>
      <c r="I389" s="14" t="s">
        <v>61</v>
      </c>
      <c r="J389" s="15" t="s">
        <v>1416</v>
      </c>
      <c r="K389" s="14" t="str">
        <f t="shared" si="1"/>
        <v>02</v>
      </c>
      <c r="L389" s="14" t="s">
        <v>1417</v>
      </c>
      <c r="M389" s="14" t="s">
        <v>1603</v>
      </c>
      <c r="N389" s="14" t="s">
        <v>1604</v>
      </c>
      <c r="O389" s="14" t="s">
        <v>64</v>
      </c>
      <c r="P389" s="14" t="s">
        <v>1605</v>
      </c>
      <c r="Q389" s="16">
        <v>46234.0</v>
      </c>
    </row>
    <row r="390">
      <c r="A390" s="13">
        <v>389.0</v>
      </c>
      <c r="B390" s="14" t="s">
        <v>1606</v>
      </c>
      <c r="C390" s="14" t="s">
        <v>1607</v>
      </c>
      <c r="D390" s="14" t="s">
        <v>1608</v>
      </c>
      <c r="E390" s="14" t="s">
        <v>1609</v>
      </c>
      <c r="F390" s="14" t="s">
        <v>40</v>
      </c>
      <c r="G390" s="14" t="s">
        <v>222</v>
      </c>
      <c r="H390" s="13">
        <v>3.0</v>
      </c>
      <c r="I390" s="14" t="s">
        <v>42</v>
      </c>
      <c r="J390" s="15" t="s">
        <v>1416</v>
      </c>
      <c r="K390" s="14" t="str">
        <f t="shared" si="1"/>
        <v>02</v>
      </c>
      <c r="L390" s="14" t="s">
        <v>1417</v>
      </c>
      <c r="M390" s="14" t="s">
        <v>1610</v>
      </c>
      <c r="N390" s="14" t="s">
        <v>1604</v>
      </c>
      <c r="O390" s="16">
        <v>46267.0</v>
      </c>
      <c r="P390" s="14" t="s">
        <v>1611</v>
      </c>
      <c r="Q390" s="16">
        <v>46234.0</v>
      </c>
    </row>
    <row r="391">
      <c r="A391" s="13">
        <v>390.0</v>
      </c>
      <c r="B391" s="14" t="s">
        <v>233</v>
      </c>
      <c r="C391" s="14" t="s">
        <v>234</v>
      </c>
      <c r="D391" s="14" t="s">
        <v>235</v>
      </c>
      <c r="E391" s="14" t="s">
        <v>236</v>
      </c>
      <c r="F391" s="14" t="s">
        <v>40</v>
      </c>
      <c r="G391" s="14" t="s">
        <v>222</v>
      </c>
      <c r="H391" s="13">
        <v>3.0</v>
      </c>
      <c r="I391" s="14" t="s">
        <v>42</v>
      </c>
      <c r="J391" s="15" t="s">
        <v>1416</v>
      </c>
      <c r="K391" s="14" t="str">
        <f t="shared" si="1"/>
        <v>02</v>
      </c>
      <c r="L391" s="14" t="s">
        <v>1417</v>
      </c>
      <c r="M391" s="14" t="s">
        <v>1612</v>
      </c>
      <c r="N391" s="14" t="s">
        <v>1613</v>
      </c>
      <c r="O391" s="16">
        <v>46291.0</v>
      </c>
      <c r="Q391" s="16">
        <v>46230.0</v>
      </c>
    </row>
    <row r="392">
      <c r="A392" s="13">
        <v>391.0</v>
      </c>
      <c r="B392" s="14" t="s">
        <v>1614</v>
      </c>
      <c r="C392" s="14" t="s">
        <v>1615</v>
      </c>
      <c r="D392" s="14" t="s">
        <v>1616</v>
      </c>
      <c r="E392" s="14" t="s">
        <v>1617</v>
      </c>
      <c r="F392" s="14" t="s">
        <v>40</v>
      </c>
      <c r="G392" s="14" t="s">
        <v>222</v>
      </c>
      <c r="H392" s="13">
        <v>3.0</v>
      </c>
      <c r="I392" s="14" t="s">
        <v>61</v>
      </c>
      <c r="J392" s="15" t="s">
        <v>1416</v>
      </c>
      <c r="K392" s="14" t="str">
        <f t="shared" si="1"/>
        <v>02</v>
      </c>
      <c r="L392" s="14" t="s">
        <v>1417</v>
      </c>
      <c r="M392" s="14" t="s">
        <v>1618</v>
      </c>
      <c r="N392" s="14" t="s">
        <v>1619</v>
      </c>
      <c r="O392" s="14" t="s">
        <v>64</v>
      </c>
      <c r="P392" s="14" t="s">
        <v>1620</v>
      </c>
      <c r="Q392" s="16">
        <v>46230.0</v>
      </c>
    </row>
    <row r="393">
      <c r="A393" s="13">
        <v>392.0</v>
      </c>
      <c r="B393" s="14" t="s">
        <v>398</v>
      </c>
      <c r="C393" s="14" t="s">
        <v>399</v>
      </c>
      <c r="D393" s="14" t="s">
        <v>400</v>
      </c>
      <c r="E393" s="14" t="s">
        <v>401</v>
      </c>
      <c r="F393" s="14" t="s">
        <v>40</v>
      </c>
      <c r="G393" s="14" t="s">
        <v>222</v>
      </c>
      <c r="H393" s="13">
        <v>3.0</v>
      </c>
      <c r="I393" s="14" t="s">
        <v>42</v>
      </c>
      <c r="J393" s="15" t="s">
        <v>1416</v>
      </c>
      <c r="K393" s="14" t="str">
        <f t="shared" si="1"/>
        <v>02</v>
      </c>
      <c r="L393" s="14" t="s">
        <v>1417</v>
      </c>
      <c r="M393" s="14" t="s">
        <v>1621</v>
      </c>
      <c r="N393" s="14" t="s">
        <v>1622</v>
      </c>
      <c r="O393" s="16">
        <v>46291.0</v>
      </c>
      <c r="P393" s="14" t="s">
        <v>1623</v>
      </c>
      <c r="Q393" s="16">
        <v>46230.0</v>
      </c>
    </row>
    <row r="394">
      <c r="A394" s="13">
        <v>393.0</v>
      </c>
      <c r="B394" s="14" t="s">
        <v>240</v>
      </c>
      <c r="C394" s="14" t="s">
        <v>241</v>
      </c>
      <c r="D394" s="14" t="s">
        <v>242</v>
      </c>
      <c r="E394" s="14" t="s">
        <v>243</v>
      </c>
      <c r="F394" s="14" t="s">
        <v>60</v>
      </c>
      <c r="G394" s="14" t="s">
        <v>222</v>
      </c>
      <c r="H394" s="13">
        <v>3.0</v>
      </c>
      <c r="I394" s="14" t="s">
        <v>42</v>
      </c>
      <c r="J394" s="15" t="s">
        <v>1416</v>
      </c>
      <c r="K394" s="14" t="str">
        <f t="shared" si="1"/>
        <v>02</v>
      </c>
      <c r="L394" s="14" t="s">
        <v>1417</v>
      </c>
      <c r="M394" s="14" t="s">
        <v>1624</v>
      </c>
      <c r="N394" s="14" t="s">
        <v>1625</v>
      </c>
      <c r="O394" s="16">
        <v>46291.0</v>
      </c>
      <c r="Q394" s="16">
        <v>46230.0</v>
      </c>
    </row>
    <row r="395">
      <c r="A395" s="13">
        <v>394.0</v>
      </c>
      <c r="B395" s="14" t="s">
        <v>398</v>
      </c>
      <c r="C395" s="14" t="s">
        <v>399</v>
      </c>
      <c r="D395" s="14" t="s">
        <v>400</v>
      </c>
      <c r="E395" s="14" t="s">
        <v>945</v>
      </c>
      <c r="F395" s="14" t="s">
        <v>489</v>
      </c>
      <c r="G395" s="14" t="s">
        <v>222</v>
      </c>
      <c r="H395" s="13">
        <v>3.0</v>
      </c>
      <c r="I395" s="14" t="s">
        <v>42</v>
      </c>
      <c r="J395" s="15" t="s">
        <v>1416</v>
      </c>
      <c r="K395" s="14" t="str">
        <f t="shared" si="1"/>
        <v>02</v>
      </c>
      <c r="L395" s="14" t="s">
        <v>1417</v>
      </c>
      <c r="M395" s="14" t="s">
        <v>1626</v>
      </c>
      <c r="N395" s="14" t="s">
        <v>1627</v>
      </c>
      <c r="O395" s="16">
        <v>46291.0</v>
      </c>
      <c r="Q395" s="16">
        <v>46230.0</v>
      </c>
    </row>
    <row r="396">
      <c r="A396" s="13">
        <v>395.0</v>
      </c>
      <c r="B396" s="14" t="s">
        <v>638</v>
      </c>
      <c r="C396" s="14" t="s">
        <v>639</v>
      </c>
      <c r="D396" s="14" t="s">
        <v>640</v>
      </c>
      <c r="E396" s="14" t="s">
        <v>641</v>
      </c>
      <c r="F396" s="14" t="s">
        <v>40</v>
      </c>
      <c r="G396" s="14" t="s">
        <v>222</v>
      </c>
      <c r="H396" s="13">
        <v>3.0</v>
      </c>
      <c r="I396" s="14" t="s">
        <v>42</v>
      </c>
      <c r="J396" s="15" t="s">
        <v>1416</v>
      </c>
      <c r="K396" s="14" t="str">
        <f t="shared" si="1"/>
        <v>02</v>
      </c>
      <c r="L396" s="14" t="s">
        <v>1417</v>
      </c>
      <c r="M396" s="14" t="s">
        <v>1628</v>
      </c>
      <c r="N396" s="14" t="s">
        <v>1629</v>
      </c>
      <c r="O396" s="14" t="s">
        <v>64</v>
      </c>
      <c r="P396" s="14" t="s">
        <v>1630</v>
      </c>
      <c r="Q396" s="16">
        <v>46230.0</v>
      </c>
    </row>
    <row r="397">
      <c r="A397" s="13">
        <v>396.0</v>
      </c>
      <c r="B397" s="14" t="s">
        <v>246</v>
      </c>
      <c r="C397" s="14" t="s">
        <v>247</v>
      </c>
      <c r="D397" s="14" t="s">
        <v>248</v>
      </c>
      <c r="E397" s="14" t="s">
        <v>526</v>
      </c>
      <c r="F397" s="14" t="s">
        <v>527</v>
      </c>
      <c r="G397" s="14" t="s">
        <v>222</v>
      </c>
      <c r="H397" s="13">
        <v>3.0</v>
      </c>
      <c r="I397" s="14" t="s">
        <v>42</v>
      </c>
      <c r="J397" s="15" t="s">
        <v>1416</v>
      </c>
      <c r="K397" s="14" t="str">
        <f t="shared" si="1"/>
        <v>02</v>
      </c>
      <c r="L397" s="14" t="s">
        <v>1417</v>
      </c>
      <c r="M397" s="14" t="s">
        <v>1631</v>
      </c>
      <c r="N397" s="14" t="s">
        <v>575</v>
      </c>
      <c r="O397" s="16">
        <v>46291.0</v>
      </c>
      <c r="P397" s="14" t="s">
        <v>1632</v>
      </c>
      <c r="Q397" s="16">
        <v>46230.0</v>
      </c>
    </row>
    <row r="398">
      <c r="A398" s="13">
        <v>397.0</v>
      </c>
      <c r="B398" s="14" t="s">
        <v>246</v>
      </c>
      <c r="C398" s="14" t="s">
        <v>247</v>
      </c>
      <c r="D398" s="14" t="s">
        <v>248</v>
      </c>
      <c r="E398" s="14" t="s">
        <v>253</v>
      </c>
      <c r="F398" s="14" t="s">
        <v>40</v>
      </c>
      <c r="G398" s="14" t="s">
        <v>222</v>
      </c>
      <c r="H398" s="13">
        <v>3.0</v>
      </c>
      <c r="I398" s="14" t="s">
        <v>42</v>
      </c>
      <c r="J398" s="15" t="s">
        <v>1416</v>
      </c>
      <c r="K398" s="14" t="str">
        <f t="shared" si="1"/>
        <v>02</v>
      </c>
      <c r="L398" s="14" t="s">
        <v>1417</v>
      </c>
      <c r="M398" s="14" t="s">
        <v>1633</v>
      </c>
      <c r="N398" s="14" t="s">
        <v>1634</v>
      </c>
      <c r="O398" s="16">
        <v>46290.0</v>
      </c>
      <c r="Q398" s="16">
        <v>46230.0</v>
      </c>
    </row>
    <row r="399">
      <c r="A399" s="13">
        <v>398.0</v>
      </c>
      <c r="B399" s="14" t="s">
        <v>246</v>
      </c>
      <c r="C399" s="14" t="s">
        <v>247</v>
      </c>
      <c r="D399" s="14" t="s">
        <v>248</v>
      </c>
      <c r="E399" s="14" t="s">
        <v>577</v>
      </c>
      <c r="F399" s="14" t="s">
        <v>489</v>
      </c>
      <c r="G399" s="14" t="s">
        <v>222</v>
      </c>
      <c r="H399" s="13">
        <v>3.0</v>
      </c>
      <c r="I399" s="14" t="s">
        <v>42</v>
      </c>
      <c r="J399" s="15" t="s">
        <v>1416</v>
      </c>
      <c r="K399" s="14" t="str">
        <f t="shared" si="1"/>
        <v>02</v>
      </c>
      <c r="L399" s="14" t="s">
        <v>1417</v>
      </c>
      <c r="M399" s="14" t="s">
        <v>1635</v>
      </c>
      <c r="N399" s="14" t="s">
        <v>579</v>
      </c>
      <c r="O399" s="16">
        <v>46291.0</v>
      </c>
      <c r="P399" s="14" t="s">
        <v>580</v>
      </c>
      <c r="Q399" s="16">
        <v>46230.0</v>
      </c>
    </row>
    <row r="400">
      <c r="A400" s="13">
        <v>399.0</v>
      </c>
      <c r="B400" s="14" t="s">
        <v>951</v>
      </c>
      <c r="C400" s="14" t="s">
        <v>952</v>
      </c>
      <c r="D400" s="14" t="s">
        <v>953</v>
      </c>
      <c r="E400" s="14" t="s">
        <v>954</v>
      </c>
      <c r="F400" s="14" t="s">
        <v>40</v>
      </c>
      <c r="G400" s="14" t="s">
        <v>261</v>
      </c>
      <c r="H400" s="13">
        <v>3.0</v>
      </c>
      <c r="I400" s="14" t="s">
        <v>42</v>
      </c>
      <c r="J400" s="15" t="s">
        <v>1416</v>
      </c>
      <c r="K400" s="14" t="str">
        <f t="shared" si="1"/>
        <v>02</v>
      </c>
      <c r="L400" s="14" t="s">
        <v>1417</v>
      </c>
      <c r="M400" s="14" t="s">
        <v>1636</v>
      </c>
      <c r="N400" s="14" t="s">
        <v>1637</v>
      </c>
      <c r="O400" s="16">
        <v>46315.0</v>
      </c>
      <c r="P400" s="14" t="s">
        <v>1638</v>
      </c>
      <c r="Q400" s="16">
        <v>46291.0</v>
      </c>
    </row>
    <row r="401">
      <c r="A401" s="13">
        <v>400.0</v>
      </c>
      <c r="B401" s="14" t="s">
        <v>520</v>
      </c>
      <c r="C401" s="14" t="s">
        <v>521</v>
      </c>
      <c r="D401" s="14" t="s">
        <v>522</v>
      </c>
      <c r="E401" s="14" t="s">
        <v>523</v>
      </c>
      <c r="F401" s="14" t="s">
        <v>40</v>
      </c>
      <c r="G401" s="14" t="s">
        <v>261</v>
      </c>
      <c r="H401" s="13">
        <v>3.0</v>
      </c>
      <c r="I401" s="14" t="s">
        <v>42</v>
      </c>
      <c r="J401" s="15" t="s">
        <v>1416</v>
      </c>
      <c r="K401" s="14" t="str">
        <f t="shared" si="1"/>
        <v>02</v>
      </c>
      <c r="L401" s="14" t="s">
        <v>1417</v>
      </c>
      <c r="M401" s="14" t="s">
        <v>1639</v>
      </c>
      <c r="N401" s="14" t="s">
        <v>525</v>
      </c>
      <c r="O401" s="16">
        <v>46316.0</v>
      </c>
      <c r="Q401" s="16">
        <v>46232.0</v>
      </c>
    </row>
    <row r="402">
      <c r="A402" s="13">
        <v>401.0</v>
      </c>
      <c r="B402" s="14" t="s">
        <v>647</v>
      </c>
      <c r="C402" s="14" t="s">
        <v>648</v>
      </c>
      <c r="D402" s="14" t="s">
        <v>649</v>
      </c>
      <c r="E402" s="14" t="s">
        <v>650</v>
      </c>
      <c r="F402" s="14" t="s">
        <v>40</v>
      </c>
      <c r="G402" s="14" t="s">
        <v>261</v>
      </c>
      <c r="H402" s="13">
        <v>3.0</v>
      </c>
      <c r="I402" s="14" t="s">
        <v>42</v>
      </c>
      <c r="J402" s="15" t="s">
        <v>1416</v>
      </c>
      <c r="K402" s="14" t="str">
        <f t="shared" si="1"/>
        <v>02</v>
      </c>
      <c r="L402" s="14" t="s">
        <v>1417</v>
      </c>
      <c r="M402" s="14" t="s">
        <v>1640</v>
      </c>
      <c r="N402" s="14" t="s">
        <v>1637</v>
      </c>
      <c r="O402" s="16">
        <v>46316.0</v>
      </c>
      <c r="P402" s="14" t="s">
        <v>1641</v>
      </c>
      <c r="Q402" s="16">
        <v>46232.0</v>
      </c>
    </row>
    <row r="403">
      <c r="A403" s="13">
        <v>402.0</v>
      </c>
      <c r="B403" s="14" t="s">
        <v>958</v>
      </c>
      <c r="C403" s="14" t="s">
        <v>959</v>
      </c>
      <c r="D403" s="14" t="s">
        <v>960</v>
      </c>
      <c r="E403" s="14" t="s">
        <v>961</v>
      </c>
      <c r="F403" s="14" t="s">
        <v>60</v>
      </c>
      <c r="G403" s="14" t="s">
        <v>261</v>
      </c>
      <c r="H403" s="13">
        <v>3.0</v>
      </c>
      <c r="I403" s="14" t="s">
        <v>42</v>
      </c>
      <c r="J403" s="15" t="s">
        <v>1416</v>
      </c>
      <c r="K403" s="14" t="str">
        <f t="shared" si="1"/>
        <v>02</v>
      </c>
      <c r="L403" s="14" t="s">
        <v>1417</v>
      </c>
      <c r="M403" s="14" t="s">
        <v>1642</v>
      </c>
      <c r="N403" s="14" t="s">
        <v>1643</v>
      </c>
      <c r="O403" s="16">
        <v>46317.0</v>
      </c>
      <c r="Q403" s="16">
        <v>46232.0</v>
      </c>
    </row>
    <row r="404">
      <c r="A404" s="13">
        <v>403.0</v>
      </c>
      <c r="B404" s="14" t="s">
        <v>257</v>
      </c>
      <c r="C404" s="14" t="s">
        <v>258</v>
      </c>
      <c r="D404" s="14" t="s">
        <v>259</v>
      </c>
      <c r="E404" s="14" t="s">
        <v>260</v>
      </c>
      <c r="F404" s="14" t="s">
        <v>250</v>
      </c>
      <c r="G404" s="14" t="s">
        <v>261</v>
      </c>
      <c r="H404" s="13">
        <v>3.0</v>
      </c>
      <c r="I404" s="14" t="s">
        <v>42</v>
      </c>
      <c r="J404" s="15" t="s">
        <v>1416</v>
      </c>
      <c r="K404" s="14" t="str">
        <f t="shared" si="1"/>
        <v>02</v>
      </c>
      <c r="L404" s="14" t="s">
        <v>1417</v>
      </c>
      <c r="M404" s="14" t="s">
        <v>1644</v>
      </c>
      <c r="N404" s="14" t="s">
        <v>1645</v>
      </c>
      <c r="O404" s="16">
        <v>46318.0</v>
      </c>
      <c r="Q404" s="16">
        <v>46232.0</v>
      </c>
    </row>
    <row r="405">
      <c r="A405" s="13">
        <v>404.0</v>
      </c>
      <c r="B405" s="14" t="s">
        <v>413</v>
      </c>
      <c r="C405" s="14" t="s">
        <v>414</v>
      </c>
      <c r="D405" s="14" t="s">
        <v>415</v>
      </c>
      <c r="E405" s="14" t="s">
        <v>416</v>
      </c>
      <c r="F405" s="14" t="s">
        <v>178</v>
      </c>
      <c r="G405" s="14" t="s">
        <v>261</v>
      </c>
      <c r="H405" s="13">
        <v>3.0</v>
      </c>
      <c r="I405" s="14" t="s">
        <v>42</v>
      </c>
      <c r="J405" s="15" t="s">
        <v>1416</v>
      </c>
      <c r="K405" s="14" t="str">
        <f t="shared" si="1"/>
        <v>02</v>
      </c>
      <c r="L405" s="14" t="s">
        <v>1417</v>
      </c>
      <c r="M405" s="14" t="s">
        <v>1646</v>
      </c>
      <c r="N405" s="14" t="s">
        <v>1647</v>
      </c>
      <c r="O405" s="16">
        <v>46318.0</v>
      </c>
      <c r="P405" s="14" t="s">
        <v>1648</v>
      </c>
      <c r="Q405" s="16">
        <v>46267.0</v>
      </c>
    </row>
    <row r="406">
      <c r="A406" s="13">
        <v>405.0</v>
      </c>
      <c r="B406" s="14" t="s">
        <v>460</v>
      </c>
      <c r="C406" s="14" t="s">
        <v>461</v>
      </c>
      <c r="D406" s="14" t="s">
        <v>462</v>
      </c>
      <c r="E406" s="14" t="s">
        <v>463</v>
      </c>
      <c r="F406" s="14" t="s">
        <v>40</v>
      </c>
      <c r="G406" s="14" t="s">
        <v>261</v>
      </c>
      <c r="H406" s="13">
        <v>3.0</v>
      </c>
      <c r="I406" s="14" t="s">
        <v>42</v>
      </c>
      <c r="J406" s="15" t="s">
        <v>1416</v>
      </c>
      <c r="K406" s="14" t="str">
        <f t="shared" si="1"/>
        <v>02</v>
      </c>
      <c r="L406" s="14" t="s">
        <v>1417</v>
      </c>
      <c r="M406" s="14" t="s">
        <v>1649</v>
      </c>
      <c r="N406" s="14" t="s">
        <v>1650</v>
      </c>
      <c r="O406" s="14" t="s">
        <v>64</v>
      </c>
      <c r="P406" s="14" t="s">
        <v>1651</v>
      </c>
      <c r="Q406" s="16">
        <v>46255.0</v>
      </c>
    </row>
    <row r="407">
      <c r="A407" s="13">
        <v>406.0</v>
      </c>
      <c r="B407" s="14" t="s">
        <v>264</v>
      </c>
      <c r="C407" s="14" t="s">
        <v>265</v>
      </c>
      <c r="D407" s="14" t="s">
        <v>266</v>
      </c>
      <c r="E407" s="14" t="s">
        <v>267</v>
      </c>
      <c r="F407" s="14" t="s">
        <v>60</v>
      </c>
      <c r="G407" s="14" t="s">
        <v>261</v>
      </c>
      <c r="H407" s="13">
        <v>3.0</v>
      </c>
      <c r="I407" s="14" t="s">
        <v>42</v>
      </c>
      <c r="J407" s="15" t="s">
        <v>1416</v>
      </c>
      <c r="K407" s="14" t="str">
        <f t="shared" si="1"/>
        <v>02</v>
      </c>
      <c r="L407" s="14" t="s">
        <v>1417</v>
      </c>
      <c r="M407" s="14" t="s">
        <v>1652</v>
      </c>
      <c r="N407" s="14" t="s">
        <v>502</v>
      </c>
      <c r="O407" s="16">
        <v>46290.0</v>
      </c>
      <c r="P407" s="14" t="s">
        <v>1653</v>
      </c>
      <c r="Q407" s="16">
        <v>46294.0</v>
      </c>
    </row>
    <row r="408">
      <c r="A408" s="13">
        <v>407.0</v>
      </c>
      <c r="B408" s="14" t="s">
        <v>964</v>
      </c>
      <c r="C408" s="14" t="s">
        <v>965</v>
      </c>
      <c r="D408" s="14" t="s">
        <v>966</v>
      </c>
      <c r="E408" s="14" t="s">
        <v>967</v>
      </c>
      <c r="F408" s="14" t="s">
        <v>40</v>
      </c>
      <c r="G408" s="14" t="s">
        <v>261</v>
      </c>
      <c r="H408" s="13">
        <v>3.0</v>
      </c>
      <c r="I408" s="14" t="s">
        <v>61</v>
      </c>
      <c r="J408" s="15" t="s">
        <v>1416</v>
      </c>
      <c r="K408" s="14" t="str">
        <f t="shared" si="1"/>
        <v>02</v>
      </c>
      <c r="L408" s="14" t="s">
        <v>1417</v>
      </c>
      <c r="M408" s="14" t="s">
        <v>1654</v>
      </c>
      <c r="N408" s="14" t="s">
        <v>1655</v>
      </c>
      <c r="O408" s="14" t="s">
        <v>64</v>
      </c>
      <c r="P408" s="14" t="s">
        <v>1656</v>
      </c>
      <c r="Q408" s="16">
        <v>46286.0</v>
      </c>
    </row>
    <row r="409">
      <c r="A409" s="13">
        <v>408.0</v>
      </c>
      <c r="B409" s="14" t="s">
        <v>1657</v>
      </c>
      <c r="C409" s="14" t="s">
        <v>1658</v>
      </c>
      <c r="D409" s="14" t="s">
        <v>1659</v>
      </c>
      <c r="E409" s="14" t="s">
        <v>1660</v>
      </c>
      <c r="F409" s="14" t="s">
        <v>60</v>
      </c>
      <c r="G409" s="14" t="s">
        <v>261</v>
      </c>
      <c r="H409" s="13">
        <v>3.0</v>
      </c>
      <c r="I409" s="14" t="s">
        <v>42</v>
      </c>
      <c r="J409" s="15" t="s">
        <v>1416</v>
      </c>
      <c r="K409" s="14" t="str">
        <f t="shared" si="1"/>
        <v>02</v>
      </c>
      <c r="L409" s="14" t="s">
        <v>1417</v>
      </c>
      <c r="M409" s="14" t="s">
        <v>1661</v>
      </c>
      <c r="N409" s="14" t="s">
        <v>1662</v>
      </c>
      <c r="O409" s="16">
        <v>46304.0</v>
      </c>
      <c r="P409" s="14" t="s">
        <v>1663</v>
      </c>
      <c r="Q409" s="16">
        <v>46273.0</v>
      </c>
    </row>
    <row r="410">
      <c r="A410" s="13">
        <v>409.0</v>
      </c>
      <c r="B410" s="14" t="s">
        <v>278</v>
      </c>
      <c r="C410" s="14" t="s">
        <v>279</v>
      </c>
      <c r="D410" s="14" t="s">
        <v>280</v>
      </c>
      <c r="E410" s="14" t="s">
        <v>281</v>
      </c>
      <c r="F410" s="14" t="s">
        <v>40</v>
      </c>
      <c r="G410" s="14" t="s">
        <v>261</v>
      </c>
      <c r="H410" s="13">
        <v>3.0</v>
      </c>
      <c r="I410" s="14" t="s">
        <v>61</v>
      </c>
      <c r="J410" s="15" t="s">
        <v>1416</v>
      </c>
      <c r="K410" s="14" t="str">
        <f t="shared" si="1"/>
        <v>02</v>
      </c>
      <c r="L410" s="14" t="s">
        <v>1417</v>
      </c>
      <c r="M410" s="14" t="s">
        <v>1664</v>
      </c>
      <c r="N410" s="14" t="s">
        <v>1665</v>
      </c>
      <c r="O410" s="16">
        <v>46290.0</v>
      </c>
      <c r="P410" s="14" t="s">
        <v>1666</v>
      </c>
      <c r="Q410" s="16">
        <v>46252.0</v>
      </c>
    </row>
    <row r="411">
      <c r="A411" s="13">
        <v>410.0</v>
      </c>
      <c r="B411" s="14" t="s">
        <v>1667</v>
      </c>
      <c r="C411" s="14" t="s">
        <v>1668</v>
      </c>
      <c r="D411" s="14" t="s">
        <v>1669</v>
      </c>
      <c r="E411" s="14" t="s">
        <v>1670</v>
      </c>
      <c r="F411" s="14" t="s">
        <v>40</v>
      </c>
      <c r="G411" s="14" t="s">
        <v>261</v>
      </c>
      <c r="H411" s="13">
        <v>3.0</v>
      </c>
      <c r="I411" s="14" t="s">
        <v>42</v>
      </c>
      <c r="J411" s="15" t="s">
        <v>1416</v>
      </c>
      <c r="K411" s="14" t="str">
        <f t="shared" si="1"/>
        <v>02</v>
      </c>
      <c r="L411" s="14" t="s">
        <v>1417</v>
      </c>
      <c r="M411" s="14" t="s">
        <v>1671</v>
      </c>
      <c r="N411" s="14" t="s">
        <v>1672</v>
      </c>
      <c r="O411" s="16">
        <v>46290.0</v>
      </c>
      <c r="Q411" s="16">
        <v>46233.0</v>
      </c>
    </row>
    <row r="412">
      <c r="A412" s="13">
        <v>411.0</v>
      </c>
      <c r="B412" s="14" t="s">
        <v>286</v>
      </c>
      <c r="C412" s="14" t="s">
        <v>287</v>
      </c>
      <c r="D412" s="14" t="s">
        <v>288</v>
      </c>
      <c r="E412" s="14" t="s">
        <v>289</v>
      </c>
      <c r="F412" s="14" t="s">
        <v>162</v>
      </c>
      <c r="G412" s="14" t="s">
        <v>261</v>
      </c>
      <c r="H412" s="13">
        <v>3.0</v>
      </c>
      <c r="I412" s="14" t="s">
        <v>42</v>
      </c>
      <c r="J412" s="15" t="s">
        <v>1416</v>
      </c>
      <c r="K412" s="14" t="str">
        <f t="shared" si="1"/>
        <v>02</v>
      </c>
      <c r="L412" s="14" t="s">
        <v>1417</v>
      </c>
      <c r="M412" s="14" t="s">
        <v>1673</v>
      </c>
      <c r="N412" s="14" t="s">
        <v>582</v>
      </c>
      <c r="O412" s="14" t="s">
        <v>64</v>
      </c>
      <c r="Q412" s="16">
        <v>46233.0</v>
      </c>
    </row>
    <row r="413">
      <c r="A413" s="13">
        <v>412.0</v>
      </c>
      <c r="B413" s="14" t="s">
        <v>302</v>
      </c>
      <c r="C413" s="14" t="s">
        <v>303</v>
      </c>
      <c r="D413" s="14" t="s">
        <v>304</v>
      </c>
      <c r="E413" s="14" t="s">
        <v>305</v>
      </c>
      <c r="F413" s="14" t="s">
        <v>162</v>
      </c>
      <c r="G413" s="14" t="s">
        <v>261</v>
      </c>
      <c r="H413" s="13">
        <v>3.0</v>
      </c>
      <c r="I413" s="14" t="s">
        <v>42</v>
      </c>
      <c r="J413" s="15" t="s">
        <v>1416</v>
      </c>
      <c r="K413" s="14" t="str">
        <f t="shared" si="1"/>
        <v>02</v>
      </c>
      <c r="L413" s="14" t="s">
        <v>1417</v>
      </c>
      <c r="M413" s="14" t="s">
        <v>1674</v>
      </c>
      <c r="N413" s="14" t="s">
        <v>1675</v>
      </c>
      <c r="O413" s="14" t="s">
        <v>64</v>
      </c>
      <c r="P413" s="14" t="s">
        <v>1676</v>
      </c>
      <c r="Q413" s="16">
        <v>46271.0</v>
      </c>
    </row>
    <row r="414">
      <c r="A414" s="13">
        <v>413.0</v>
      </c>
      <c r="B414" s="14" t="s">
        <v>1375</v>
      </c>
      <c r="C414" s="14" t="s">
        <v>1376</v>
      </c>
      <c r="D414" s="14" t="s">
        <v>1377</v>
      </c>
      <c r="E414" s="14" t="s">
        <v>1378</v>
      </c>
      <c r="F414" s="14" t="s">
        <v>207</v>
      </c>
      <c r="G414" s="14" t="s">
        <v>297</v>
      </c>
      <c r="H414" s="13">
        <v>3.0</v>
      </c>
      <c r="I414" s="14" t="s">
        <v>61</v>
      </c>
      <c r="J414" s="15" t="s">
        <v>1416</v>
      </c>
      <c r="K414" s="14" t="str">
        <f t="shared" si="1"/>
        <v>02</v>
      </c>
      <c r="L414" s="14" t="s">
        <v>1417</v>
      </c>
      <c r="M414" s="14" t="s">
        <v>1677</v>
      </c>
      <c r="N414" s="14" t="s">
        <v>1678</v>
      </c>
      <c r="O414" s="14" t="s">
        <v>64</v>
      </c>
      <c r="P414" s="14" t="s">
        <v>1679</v>
      </c>
      <c r="Q414" s="16">
        <v>46279.0</v>
      </c>
    </row>
    <row r="415">
      <c r="A415" s="13">
        <v>414.0</v>
      </c>
      <c r="B415" s="14" t="s">
        <v>1680</v>
      </c>
      <c r="C415" s="14" t="s">
        <v>1681</v>
      </c>
      <c r="D415" s="14" t="s">
        <v>1682</v>
      </c>
      <c r="E415" s="14" t="s">
        <v>1683</v>
      </c>
      <c r="F415" s="14" t="s">
        <v>207</v>
      </c>
      <c r="G415" s="14" t="s">
        <v>297</v>
      </c>
      <c r="H415" s="13">
        <v>3.0</v>
      </c>
      <c r="I415" s="14" t="s">
        <v>42</v>
      </c>
      <c r="J415" s="15" t="s">
        <v>1416</v>
      </c>
      <c r="K415" s="14" t="str">
        <f t="shared" si="1"/>
        <v>02</v>
      </c>
      <c r="L415" s="14" t="s">
        <v>1417</v>
      </c>
      <c r="M415" s="14" t="s">
        <v>1684</v>
      </c>
      <c r="N415" s="14" t="s">
        <v>1685</v>
      </c>
      <c r="O415" s="16">
        <v>46303.0</v>
      </c>
      <c r="Q415" s="16">
        <v>46238.0</v>
      </c>
    </row>
    <row r="416">
      <c r="A416" s="13">
        <v>415.0</v>
      </c>
      <c r="B416" s="14" t="s">
        <v>1382</v>
      </c>
      <c r="C416" s="14" t="s">
        <v>1383</v>
      </c>
      <c r="D416" s="14" t="s">
        <v>1384</v>
      </c>
      <c r="E416" s="14" t="s">
        <v>1385</v>
      </c>
      <c r="F416" s="14" t="s">
        <v>60</v>
      </c>
      <c r="G416" s="14" t="s">
        <v>297</v>
      </c>
      <c r="H416" s="13">
        <v>3.0</v>
      </c>
      <c r="I416" s="14" t="s">
        <v>42</v>
      </c>
      <c r="J416" s="15" t="s">
        <v>1416</v>
      </c>
      <c r="K416" s="14" t="str">
        <f t="shared" si="1"/>
        <v>02</v>
      </c>
      <c r="L416" s="14" t="s">
        <v>1417</v>
      </c>
      <c r="M416" s="14" t="s">
        <v>1686</v>
      </c>
      <c r="N416" s="14" t="s">
        <v>1687</v>
      </c>
      <c r="O416" s="16">
        <v>46302.0</v>
      </c>
      <c r="Q416" s="16">
        <v>46238.0</v>
      </c>
    </row>
    <row r="417">
      <c r="A417" s="13">
        <v>416.0</v>
      </c>
      <c r="B417" s="14" t="s">
        <v>1688</v>
      </c>
      <c r="C417" s="14" t="s">
        <v>1689</v>
      </c>
      <c r="D417" s="14" t="s">
        <v>1690</v>
      </c>
      <c r="E417" s="14" t="s">
        <v>1691</v>
      </c>
      <c r="F417" s="14" t="s">
        <v>40</v>
      </c>
      <c r="G417" s="14" t="s">
        <v>329</v>
      </c>
      <c r="H417" s="13">
        <v>3.0</v>
      </c>
      <c r="I417" s="14" t="s">
        <v>61</v>
      </c>
      <c r="J417" s="15" t="s">
        <v>1416</v>
      </c>
      <c r="K417" s="14" t="str">
        <f t="shared" si="1"/>
        <v>02</v>
      </c>
      <c r="L417" s="14" t="s">
        <v>1417</v>
      </c>
      <c r="M417" s="14" t="s">
        <v>1692</v>
      </c>
      <c r="N417" s="14" t="s">
        <v>1693</v>
      </c>
      <c r="O417" s="14" t="s">
        <v>64</v>
      </c>
      <c r="P417" s="14" t="s">
        <v>1694</v>
      </c>
      <c r="Q417" s="16">
        <v>46284.0</v>
      </c>
    </row>
    <row r="418">
      <c r="A418" s="13">
        <v>417.0</v>
      </c>
      <c r="B418" s="14" t="s">
        <v>504</v>
      </c>
      <c r="C418" s="14" t="s">
        <v>505</v>
      </c>
      <c r="D418" s="14" t="s">
        <v>506</v>
      </c>
      <c r="E418" s="14" t="s">
        <v>507</v>
      </c>
      <c r="F418" s="14" t="s">
        <v>70</v>
      </c>
      <c r="G418" s="14" t="s">
        <v>329</v>
      </c>
      <c r="H418" s="13">
        <v>3.0</v>
      </c>
      <c r="I418" s="14" t="s">
        <v>42</v>
      </c>
      <c r="J418" s="15" t="s">
        <v>1416</v>
      </c>
      <c r="K418" s="14" t="str">
        <f t="shared" si="1"/>
        <v>02</v>
      </c>
      <c r="L418" s="14" t="s">
        <v>1417</v>
      </c>
      <c r="M418" s="14" t="s">
        <v>1695</v>
      </c>
      <c r="N418" s="14" t="s">
        <v>509</v>
      </c>
      <c r="O418" s="16">
        <v>46331.0</v>
      </c>
      <c r="P418" s="14" t="s">
        <v>1696</v>
      </c>
      <c r="Q418" s="16">
        <v>46283.0</v>
      </c>
    </row>
    <row r="419">
      <c r="A419" s="13">
        <v>418.0</v>
      </c>
      <c r="B419" s="14" t="s">
        <v>333</v>
      </c>
      <c r="C419" s="14" t="s">
        <v>334</v>
      </c>
      <c r="D419" s="14" t="s">
        <v>335</v>
      </c>
      <c r="E419" s="14" t="s">
        <v>336</v>
      </c>
      <c r="F419" s="14" t="s">
        <v>70</v>
      </c>
      <c r="G419" s="14" t="s">
        <v>329</v>
      </c>
      <c r="H419" s="13">
        <v>3.0</v>
      </c>
      <c r="I419" s="14" t="s">
        <v>42</v>
      </c>
      <c r="J419" s="15" t="s">
        <v>1416</v>
      </c>
      <c r="K419" s="14" t="str">
        <f t="shared" si="1"/>
        <v>02</v>
      </c>
      <c r="L419" s="14" t="s">
        <v>1417</v>
      </c>
      <c r="M419" s="14" t="s">
        <v>1697</v>
      </c>
      <c r="N419" s="14" t="s">
        <v>1698</v>
      </c>
      <c r="O419" s="16">
        <v>46353.0</v>
      </c>
      <c r="P419" s="14" t="s">
        <v>1699</v>
      </c>
      <c r="Q419" s="16">
        <v>46269.0</v>
      </c>
    </row>
    <row r="420">
      <c r="A420" s="13">
        <v>419.0</v>
      </c>
      <c r="B420" s="14" t="s">
        <v>539</v>
      </c>
      <c r="C420" s="14" t="s">
        <v>540</v>
      </c>
      <c r="D420" s="14" t="s">
        <v>541</v>
      </c>
      <c r="E420" s="14" t="s">
        <v>542</v>
      </c>
      <c r="F420" s="14" t="s">
        <v>543</v>
      </c>
      <c r="G420" s="14" t="s">
        <v>329</v>
      </c>
      <c r="H420" s="13">
        <v>3.0</v>
      </c>
      <c r="I420" s="14" t="s">
        <v>61</v>
      </c>
      <c r="J420" s="15" t="s">
        <v>1416</v>
      </c>
      <c r="K420" s="14" t="str">
        <f t="shared" si="1"/>
        <v>02</v>
      </c>
      <c r="L420" s="14" t="s">
        <v>1417</v>
      </c>
      <c r="M420" s="14" t="s">
        <v>1700</v>
      </c>
      <c r="N420" s="14" t="s">
        <v>1701</v>
      </c>
      <c r="O420" s="14" t="s">
        <v>64</v>
      </c>
      <c r="P420" s="14" t="s">
        <v>1702</v>
      </c>
      <c r="Q420" s="16">
        <v>46262.0</v>
      </c>
    </row>
    <row r="421">
      <c r="A421" s="13">
        <v>420.0</v>
      </c>
      <c r="B421" s="14" t="s">
        <v>767</v>
      </c>
      <c r="C421" s="14" t="s">
        <v>768</v>
      </c>
      <c r="D421" s="14" t="s">
        <v>769</v>
      </c>
      <c r="E421" s="14" t="s">
        <v>770</v>
      </c>
      <c r="F421" s="14" t="s">
        <v>178</v>
      </c>
      <c r="G421" s="14" t="s">
        <v>109</v>
      </c>
      <c r="H421" s="13">
        <v>3.0</v>
      </c>
      <c r="I421" s="14" t="s">
        <v>61</v>
      </c>
      <c r="J421" s="15" t="s">
        <v>1703</v>
      </c>
      <c r="K421" s="14" t="str">
        <f t="shared" si="1"/>
        <v>02</v>
      </c>
      <c r="L421" s="14" t="s">
        <v>1704</v>
      </c>
      <c r="M421" s="14" t="s">
        <v>1705</v>
      </c>
      <c r="N421" s="14" t="s">
        <v>1706</v>
      </c>
      <c r="O421" s="14" t="s">
        <v>64</v>
      </c>
      <c r="P421" s="14" t="s">
        <v>1707</v>
      </c>
      <c r="Q421" s="16">
        <v>46171.0</v>
      </c>
    </row>
    <row r="422">
      <c r="A422" s="13">
        <v>421.0</v>
      </c>
      <c r="B422" s="14" t="s">
        <v>1657</v>
      </c>
      <c r="C422" s="14" t="s">
        <v>1658</v>
      </c>
      <c r="D422" s="14" t="s">
        <v>1659</v>
      </c>
      <c r="E422" s="14" t="s">
        <v>1708</v>
      </c>
      <c r="F422" s="14" t="s">
        <v>178</v>
      </c>
      <c r="G422" s="14" t="s">
        <v>261</v>
      </c>
      <c r="H422" s="13">
        <v>3.0</v>
      </c>
      <c r="I422" s="14" t="s">
        <v>42</v>
      </c>
      <c r="J422" s="15" t="s">
        <v>1703</v>
      </c>
      <c r="K422" s="14" t="str">
        <f t="shared" si="1"/>
        <v>02</v>
      </c>
      <c r="L422" s="14" t="s">
        <v>1704</v>
      </c>
      <c r="M422" s="14" t="s">
        <v>1709</v>
      </c>
      <c r="N422" s="14" t="s">
        <v>1710</v>
      </c>
      <c r="O422" s="16">
        <v>46270.0</v>
      </c>
      <c r="P422" s="14" t="s">
        <v>1711</v>
      </c>
      <c r="Q422" s="16">
        <v>46273.0</v>
      </c>
    </row>
    <row r="423">
      <c r="A423" s="13">
        <v>422.0</v>
      </c>
      <c r="B423" s="14" t="s">
        <v>836</v>
      </c>
      <c r="C423" s="14" t="s">
        <v>837</v>
      </c>
      <c r="D423" s="14" t="s">
        <v>838</v>
      </c>
      <c r="E423" s="14" t="s">
        <v>839</v>
      </c>
      <c r="F423" s="14" t="s">
        <v>40</v>
      </c>
      <c r="G423" s="14" t="s">
        <v>41</v>
      </c>
      <c r="H423" s="13">
        <v>3.0</v>
      </c>
      <c r="I423" s="14" t="s">
        <v>42</v>
      </c>
      <c r="J423" s="15" t="s">
        <v>1712</v>
      </c>
      <c r="K423" s="14" t="str">
        <f t="shared" si="1"/>
        <v>03</v>
      </c>
      <c r="L423" s="14" t="s">
        <v>1713</v>
      </c>
      <c r="M423" s="14" t="s">
        <v>1714</v>
      </c>
      <c r="N423" s="14" t="s">
        <v>1715</v>
      </c>
      <c r="O423" s="16">
        <v>46265.0</v>
      </c>
      <c r="Q423" s="16">
        <v>46147.0</v>
      </c>
    </row>
    <row r="424">
      <c r="A424" s="13">
        <v>423.0</v>
      </c>
      <c r="B424" s="14" t="s">
        <v>1067</v>
      </c>
      <c r="C424" s="14" t="s">
        <v>1068</v>
      </c>
      <c r="D424" s="14" t="s">
        <v>1069</v>
      </c>
      <c r="E424" s="14" t="s">
        <v>1070</v>
      </c>
      <c r="F424" s="14" t="s">
        <v>40</v>
      </c>
      <c r="G424" s="14" t="s">
        <v>41</v>
      </c>
      <c r="H424" s="13">
        <v>3.0</v>
      </c>
      <c r="I424" s="14" t="s">
        <v>42</v>
      </c>
      <c r="J424" s="15" t="s">
        <v>1712</v>
      </c>
      <c r="K424" s="14" t="str">
        <f t="shared" si="1"/>
        <v>03</v>
      </c>
      <c r="L424" s="14" t="s">
        <v>1713</v>
      </c>
      <c r="M424" s="14" t="s">
        <v>1716</v>
      </c>
      <c r="N424" s="14" t="s">
        <v>1717</v>
      </c>
      <c r="O424" s="14" t="s">
        <v>64</v>
      </c>
      <c r="P424" s="14" t="s">
        <v>1718</v>
      </c>
      <c r="Q424" s="16">
        <v>46209.0</v>
      </c>
    </row>
    <row r="425">
      <c r="A425" s="13">
        <v>424.0</v>
      </c>
      <c r="B425" s="14" t="s">
        <v>842</v>
      </c>
      <c r="C425" s="14" t="s">
        <v>843</v>
      </c>
      <c r="D425" s="14" t="s">
        <v>844</v>
      </c>
      <c r="E425" s="14" t="s">
        <v>845</v>
      </c>
      <c r="F425" s="14" t="s">
        <v>40</v>
      </c>
      <c r="G425" s="14" t="s">
        <v>41</v>
      </c>
      <c r="H425" s="13">
        <v>3.0</v>
      </c>
      <c r="I425" s="14" t="s">
        <v>61</v>
      </c>
      <c r="J425" s="15" t="s">
        <v>1712</v>
      </c>
      <c r="K425" s="14" t="str">
        <f t="shared" si="1"/>
        <v>03</v>
      </c>
      <c r="L425" s="14" t="s">
        <v>1713</v>
      </c>
      <c r="M425" s="14" t="s">
        <v>1719</v>
      </c>
      <c r="N425" s="14" t="s">
        <v>1720</v>
      </c>
      <c r="O425" s="14" t="s">
        <v>64</v>
      </c>
      <c r="P425" s="14" t="s">
        <v>1721</v>
      </c>
      <c r="Q425" s="16">
        <v>46204.0</v>
      </c>
    </row>
    <row r="426">
      <c r="A426" s="13">
        <v>425.0</v>
      </c>
      <c r="B426" s="14" t="s">
        <v>690</v>
      </c>
      <c r="C426" s="14" t="s">
        <v>691</v>
      </c>
      <c r="D426" s="14" t="s">
        <v>692</v>
      </c>
      <c r="E426" s="14" t="s">
        <v>693</v>
      </c>
      <c r="F426" s="14" t="s">
        <v>70</v>
      </c>
      <c r="G426" s="14" t="s">
        <v>109</v>
      </c>
      <c r="H426" s="13">
        <v>3.0</v>
      </c>
      <c r="I426" s="14" t="s">
        <v>61</v>
      </c>
      <c r="J426" s="15" t="s">
        <v>1712</v>
      </c>
      <c r="K426" s="14" t="str">
        <f t="shared" si="1"/>
        <v>03</v>
      </c>
      <c r="L426" s="14" t="s">
        <v>1713</v>
      </c>
      <c r="M426" s="14" t="s">
        <v>1722</v>
      </c>
      <c r="N426" s="14" t="s">
        <v>695</v>
      </c>
      <c r="O426" s="16">
        <v>46290.0</v>
      </c>
      <c r="P426" s="14" t="s">
        <v>1723</v>
      </c>
      <c r="Q426" s="16">
        <v>46238.0</v>
      </c>
    </row>
    <row r="427">
      <c r="A427" s="13">
        <v>426.0</v>
      </c>
      <c r="B427" s="14" t="s">
        <v>697</v>
      </c>
      <c r="C427" s="14" t="s">
        <v>698</v>
      </c>
      <c r="D427" s="14" t="s">
        <v>699</v>
      </c>
      <c r="E427" s="14" t="s">
        <v>700</v>
      </c>
      <c r="F427" s="14" t="s">
        <v>489</v>
      </c>
      <c r="G427" s="14" t="s">
        <v>109</v>
      </c>
      <c r="H427" s="13">
        <v>3.0</v>
      </c>
      <c r="I427" s="14" t="s">
        <v>61</v>
      </c>
      <c r="J427" s="15" t="s">
        <v>1712</v>
      </c>
      <c r="K427" s="14" t="str">
        <f t="shared" si="1"/>
        <v>03</v>
      </c>
      <c r="L427" s="14" t="s">
        <v>1713</v>
      </c>
      <c r="M427" s="14" t="s">
        <v>1724</v>
      </c>
      <c r="N427" s="14" t="s">
        <v>702</v>
      </c>
      <c r="O427" s="14" t="s">
        <v>64</v>
      </c>
      <c r="P427" s="14" t="s">
        <v>1725</v>
      </c>
      <c r="Q427" s="16">
        <v>46188.0</v>
      </c>
    </row>
    <row r="428">
      <c r="A428" s="13">
        <v>427.0</v>
      </c>
      <c r="B428" s="14" t="s">
        <v>608</v>
      </c>
      <c r="C428" s="14" t="s">
        <v>609</v>
      </c>
      <c r="D428" s="14" t="s">
        <v>610</v>
      </c>
      <c r="E428" s="14" t="s">
        <v>611</v>
      </c>
      <c r="F428" s="14" t="s">
        <v>40</v>
      </c>
      <c r="G428" s="14" t="s">
        <v>109</v>
      </c>
      <c r="H428" s="13">
        <v>3.0</v>
      </c>
      <c r="I428" s="14" t="s">
        <v>61</v>
      </c>
      <c r="J428" s="15" t="s">
        <v>1712</v>
      </c>
      <c r="K428" s="14" t="str">
        <f t="shared" si="1"/>
        <v>03</v>
      </c>
      <c r="L428" s="14" t="s">
        <v>1713</v>
      </c>
      <c r="M428" s="14" t="s">
        <v>1726</v>
      </c>
      <c r="N428" s="14" t="s">
        <v>613</v>
      </c>
      <c r="O428" s="14" t="s">
        <v>64</v>
      </c>
      <c r="P428" s="14" t="s">
        <v>1727</v>
      </c>
      <c r="Q428" s="16">
        <v>46210.0</v>
      </c>
    </row>
    <row r="429">
      <c r="A429" s="13">
        <v>428.0</v>
      </c>
      <c r="B429" s="14" t="s">
        <v>1728</v>
      </c>
      <c r="C429" s="14" t="s">
        <v>1729</v>
      </c>
      <c r="D429" s="14" t="s">
        <v>1730</v>
      </c>
      <c r="E429" s="14" t="s">
        <v>1731</v>
      </c>
      <c r="F429" s="14" t="s">
        <v>178</v>
      </c>
      <c r="G429" s="14" t="s">
        <v>109</v>
      </c>
      <c r="H429" s="13">
        <v>3.0</v>
      </c>
      <c r="I429" s="14" t="s">
        <v>61</v>
      </c>
      <c r="J429" s="15" t="s">
        <v>1712</v>
      </c>
      <c r="K429" s="14" t="str">
        <f t="shared" si="1"/>
        <v>03</v>
      </c>
      <c r="L429" s="14" t="s">
        <v>1713</v>
      </c>
      <c r="M429" s="14" t="s">
        <v>1732</v>
      </c>
      <c r="N429" s="14" t="s">
        <v>1733</v>
      </c>
      <c r="O429" s="14" t="s">
        <v>64</v>
      </c>
      <c r="P429" s="14" t="s">
        <v>1734</v>
      </c>
      <c r="Q429" s="16">
        <v>46191.0</v>
      </c>
    </row>
    <row r="430">
      <c r="A430" s="13">
        <v>429.0</v>
      </c>
      <c r="B430" s="14" t="s">
        <v>615</v>
      </c>
      <c r="C430" s="14" t="s">
        <v>616</v>
      </c>
      <c r="D430" s="14" t="s">
        <v>617</v>
      </c>
      <c r="E430" s="14" t="s">
        <v>618</v>
      </c>
      <c r="F430" s="14" t="s">
        <v>40</v>
      </c>
      <c r="G430" s="14" t="s">
        <v>109</v>
      </c>
      <c r="H430" s="13">
        <v>3.0</v>
      </c>
      <c r="I430" s="14" t="s">
        <v>61</v>
      </c>
      <c r="J430" s="15" t="s">
        <v>1712</v>
      </c>
      <c r="K430" s="14" t="str">
        <f t="shared" si="1"/>
        <v>03</v>
      </c>
      <c r="L430" s="14" t="s">
        <v>1713</v>
      </c>
      <c r="M430" s="14" t="s">
        <v>1735</v>
      </c>
      <c r="N430" s="14" t="s">
        <v>620</v>
      </c>
      <c r="O430" s="16">
        <v>46234.0</v>
      </c>
      <c r="P430" s="14" t="s">
        <v>1736</v>
      </c>
      <c r="Q430" s="16">
        <v>46161.0</v>
      </c>
    </row>
    <row r="431">
      <c r="A431" s="13">
        <v>430.0</v>
      </c>
      <c r="B431" s="14" t="s">
        <v>351</v>
      </c>
      <c r="C431" s="14" t="s">
        <v>352</v>
      </c>
      <c r="D431" s="14" t="s">
        <v>353</v>
      </c>
      <c r="E431" s="14" t="s">
        <v>354</v>
      </c>
      <c r="F431" s="14" t="s">
        <v>40</v>
      </c>
      <c r="G431" s="14" t="s">
        <v>109</v>
      </c>
      <c r="H431" s="13">
        <v>3.0</v>
      </c>
      <c r="I431" s="14" t="s">
        <v>42</v>
      </c>
      <c r="J431" s="15" t="s">
        <v>1712</v>
      </c>
      <c r="K431" s="14" t="str">
        <f t="shared" si="1"/>
        <v>03</v>
      </c>
      <c r="L431" s="14" t="s">
        <v>1713</v>
      </c>
      <c r="M431" s="14" t="s">
        <v>1737</v>
      </c>
      <c r="N431" s="14" t="s">
        <v>1738</v>
      </c>
      <c r="O431" s="14" t="s">
        <v>64</v>
      </c>
      <c r="Q431" s="16">
        <v>46162.0</v>
      </c>
    </row>
    <row r="432">
      <c r="A432" s="13">
        <v>431.0</v>
      </c>
      <c r="B432" s="14" t="s">
        <v>113</v>
      </c>
      <c r="C432" s="14" t="s">
        <v>114</v>
      </c>
      <c r="D432" s="14" t="s">
        <v>115</v>
      </c>
      <c r="E432" s="14" t="s">
        <v>116</v>
      </c>
      <c r="F432" s="14" t="s">
        <v>40</v>
      </c>
      <c r="G432" s="14" t="s">
        <v>109</v>
      </c>
      <c r="H432" s="13">
        <v>3.0</v>
      </c>
      <c r="I432" s="14" t="s">
        <v>61</v>
      </c>
      <c r="J432" s="15" t="s">
        <v>1712</v>
      </c>
      <c r="K432" s="14" t="str">
        <f t="shared" si="1"/>
        <v>03</v>
      </c>
      <c r="L432" s="14" t="s">
        <v>1713</v>
      </c>
      <c r="M432" s="14" t="s">
        <v>1739</v>
      </c>
      <c r="N432" s="14" t="s">
        <v>1740</v>
      </c>
      <c r="O432" s="14" t="s">
        <v>64</v>
      </c>
      <c r="P432" s="14" t="s">
        <v>1741</v>
      </c>
      <c r="Q432" s="16">
        <v>46180.0</v>
      </c>
    </row>
    <row r="433">
      <c r="A433" s="13">
        <v>432.0</v>
      </c>
      <c r="B433" s="14" t="s">
        <v>120</v>
      </c>
      <c r="C433" s="14" t="s">
        <v>121</v>
      </c>
      <c r="D433" s="14" t="s">
        <v>122</v>
      </c>
      <c r="E433" s="14" t="s">
        <v>123</v>
      </c>
      <c r="F433" s="14" t="s">
        <v>40</v>
      </c>
      <c r="G433" s="14" t="s">
        <v>124</v>
      </c>
      <c r="H433" s="13">
        <v>3.0</v>
      </c>
      <c r="I433" s="14" t="s">
        <v>42</v>
      </c>
      <c r="J433" s="15" t="s">
        <v>1712</v>
      </c>
      <c r="K433" s="14" t="str">
        <f t="shared" si="1"/>
        <v>03</v>
      </c>
      <c r="L433" s="14" t="s">
        <v>1713</v>
      </c>
      <c r="M433" s="14" t="s">
        <v>1742</v>
      </c>
      <c r="N433" s="14" t="s">
        <v>1743</v>
      </c>
      <c r="O433" s="16">
        <v>46283.0</v>
      </c>
      <c r="P433" s="14" t="s">
        <v>1744</v>
      </c>
      <c r="Q433" s="16">
        <v>46252.0</v>
      </c>
    </row>
    <row r="434">
      <c r="A434" s="13">
        <v>433.0</v>
      </c>
      <c r="B434" s="14" t="s">
        <v>1287</v>
      </c>
      <c r="C434" s="14" t="s">
        <v>1288</v>
      </c>
      <c r="D434" s="14" t="s">
        <v>1289</v>
      </c>
      <c r="E434" s="14" t="s">
        <v>1290</v>
      </c>
      <c r="F434" s="14" t="s">
        <v>40</v>
      </c>
      <c r="G434" s="14" t="s">
        <v>146</v>
      </c>
      <c r="H434" s="13">
        <v>3.0</v>
      </c>
      <c r="I434" s="14" t="s">
        <v>61</v>
      </c>
      <c r="J434" s="15" t="s">
        <v>1712</v>
      </c>
      <c r="K434" s="14" t="str">
        <f t="shared" si="1"/>
        <v>03</v>
      </c>
      <c r="L434" s="14" t="s">
        <v>1713</v>
      </c>
      <c r="M434" s="14" t="s">
        <v>1745</v>
      </c>
      <c r="N434" s="14" t="s">
        <v>1746</v>
      </c>
      <c r="O434" s="14" t="s">
        <v>64</v>
      </c>
      <c r="P434" s="14" t="s">
        <v>1747</v>
      </c>
      <c r="Q434" s="16">
        <v>46244.0</v>
      </c>
    </row>
    <row r="435">
      <c r="A435" s="13">
        <v>434.0</v>
      </c>
      <c r="B435" s="14" t="s">
        <v>659</v>
      </c>
      <c r="C435" s="14" t="s">
        <v>660</v>
      </c>
      <c r="D435" s="14" t="s">
        <v>661</v>
      </c>
      <c r="E435" s="14" t="s">
        <v>662</v>
      </c>
      <c r="F435" s="14" t="s">
        <v>40</v>
      </c>
      <c r="G435" s="14" t="s">
        <v>146</v>
      </c>
      <c r="H435" s="13">
        <v>3.0</v>
      </c>
      <c r="I435" s="14" t="s">
        <v>61</v>
      </c>
      <c r="J435" s="15" t="s">
        <v>1712</v>
      </c>
      <c r="K435" s="14" t="str">
        <f t="shared" si="1"/>
        <v>03</v>
      </c>
      <c r="L435" s="14" t="s">
        <v>1713</v>
      </c>
      <c r="M435" s="14" t="s">
        <v>1748</v>
      </c>
      <c r="N435" s="14" t="s">
        <v>664</v>
      </c>
      <c r="O435" s="14" t="s">
        <v>64</v>
      </c>
      <c r="P435" s="14" t="s">
        <v>1749</v>
      </c>
      <c r="Q435" s="16">
        <v>46266.0</v>
      </c>
    </row>
    <row r="436">
      <c r="A436" s="13">
        <v>435.0</v>
      </c>
      <c r="B436" s="14" t="s">
        <v>174</v>
      </c>
      <c r="C436" s="14" t="s">
        <v>175</v>
      </c>
      <c r="D436" s="14" t="s">
        <v>176</v>
      </c>
      <c r="E436" s="14" t="s">
        <v>177</v>
      </c>
      <c r="F436" s="14" t="s">
        <v>178</v>
      </c>
      <c r="G436" s="14" t="s">
        <v>146</v>
      </c>
      <c r="H436" s="13">
        <v>3.0</v>
      </c>
      <c r="I436" s="14" t="s">
        <v>42</v>
      </c>
      <c r="J436" s="15" t="s">
        <v>1712</v>
      </c>
      <c r="K436" s="14" t="str">
        <f t="shared" si="1"/>
        <v>03</v>
      </c>
      <c r="L436" s="14" t="s">
        <v>1713</v>
      </c>
      <c r="M436" s="14" t="s">
        <v>1750</v>
      </c>
      <c r="N436" s="14" t="s">
        <v>1751</v>
      </c>
      <c r="O436" s="16">
        <v>46297.0</v>
      </c>
      <c r="Q436" s="16">
        <v>46195.0</v>
      </c>
    </row>
    <row r="437">
      <c r="A437" s="13">
        <v>436.0</v>
      </c>
      <c r="B437" s="14" t="s">
        <v>392</v>
      </c>
      <c r="C437" s="14" t="s">
        <v>393</v>
      </c>
      <c r="D437" s="14" t="s">
        <v>394</v>
      </c>
      <c r="E437" s="14" t="s">
        <v>395</v>
      </c>
      <c r="F437" s="14" t="s">
        <v>40</v>
      </c>
      <c r="G437" s="14" t="s">
        <v>191</v>
      </c>
      <c r="H437" s="13">
        <v>3.0</v>
      </c>
      <c r="I437" s="14" t="s">
        <v>42</v>
      </c>
      <c r="J437" s="15" t="s">
        <v>1712</v>
      </c>
      <c r="K437" s="14" t="str">
        <f t="shared" si="1"/>
        <v>03</v>
      </c>
      <c r="L437" s="14" t="s">
        <v>1713</v>
      </c>
      <c r="M437" s="14" t="s">
        <v>1752</v>
      </c>
      <c r="N437" s="14" t="s">
        <v>732</v>
      </c>
      <c r="O437" s="16">
        <v>46299.0</v>
      </c>
      <c r="P437" s="14" t="s">
        <v>1753</v>
      </c>
      <c r="Q437" s="16">
        <v>46287.0</v>
      </c>
    </row>
    <row r="438">
      <c r="A438" s="13">
        <v>437.0</v>
      </c>
      <c r="B438" s="14" t="s">
        <v>187</v>
      </c>
      <c r="C438" s="14" t="s">
        <v>188</v>
      </c>
      <c r="D438" s="14" t="s">
        <v>189</v>
      </c>
      <c r="E438" s="14" t="s">
        <v>190</v>
      </c>
      <c r="F438" s="14" t="s">
        <v>40</v>
      </c>
      <c r="G438" s="14" t="s">
        <v>191</v>
      </c>
      <c r="H438" s="13">
        <v>3.0</v>
      </c>
      <c r="I438" s="14" t="s">
        <v>61</v>
      </c>
      <c r="J438" s="15" t="s">
        <v>1712</v>
      </c>
      <c r="K438" s="14" t="str">
        <f t="shared" si="1"/>
        <v>03</v>
      </c>
      <c r="L438" s="14" t="s">
        <v>1713</v>
      </c>
      <c r="M438" s="14" t="s">
        <v>1754</v>
      </c>
      <c r="N438" s="14" t="s">
        <v>1755</v>
      </c>
      <c r="O438" s="14" t="s">
        <v>64</v>
      </c>
      <c r="P438" s="14" t="s">
        <v>1756</v>
      </c>
      <c r="Q438" s="16">
        <v>46248.0</v>
      </c>
    </row>
    <row r="439">
      <c r="A439" s="13">
        <v>438.0</v>
      </c>
      <c r="B439" s="14" t="s">
        <v>196</v>
      </c>
      <c r="C439" s="14" t="s">
        <v>197</v>
      </c>
      <c r="D439" s="14" t="s">
        <v>198</v>
      </c>
      <c r="E439" s="14" t="s">
        <v>488</v>
      </c>
      <c r="F439" s="14" t="s">
        <v>489</v>
      </c>
      <c r="G439" s="14" t="s">
        <v>191</v>
      </c>
      <c r="H439" s="13">
        <v>3.0</v>
      </c>
      <c r="I439" s="14" t="s">
        <v>42</v>
      </c>
      <c r="J439" s="15" t="s">
        <v>1712</v>
      </c>
      <c r="K439" s="14" t="str">
        <f t="shared" si="1"/>
        <v>03</v>
      </c>
      <c r="L439" s="14" t="s">
        <v>1713</v>
      </c>
      <c r="M439" s="14" t="s">
        <v>1757</v>
      </c>
      <c r="N439" s="14" t="s">
        <v>738</v>
      </c>
      <c r="O439" s="16">
        <v>46289.0</v>
      </c>
      <c r="Q439" s="16">
        <v>46217.0</v>
      </c>
    </row>
    <row r="440">
      <c r="A440" s="13">
        <v>439.0</v>
      </c>
      <c r="B440" s="14" t="s">
        <v>1758</v>
      </c>
      <c r="C440" s="14" t="s">
        <v>1759</v>
      </c>
      <c r="D440" s="14" t="s">
        <v>1760</v>
      </c>
      <c r="E440" s="14" t="s">
        <v>1761</v>
      </c>
      <c r="F440" s="14" t="s">
        <v>154</v>
      </c>
      <c r="G440" s="14" t="s">
        <v>191</v>
      </c>
      <c r="H440" s="13">
        <v>3.0</v>
      </c>
      <c r="I440" s="14" t="s">
        <v>61</v>
      </c>
      <c r="J440" s="15" t="s">
        <v>1712</v>
      </c>
      <c r="K440" s="14" t="str">
        <f t="shared" si="1"/>
        <v>03</v>
      </c>
      <c r="L440" s="14" t="s">
        <v>1713</v>
      </c>
      <c r="M440" s="14" t="s">
        <v>1762</v>
      </c>
      <c r="N440" s="14" t="s">
        <v>1763</v>
      </c>
      <c r="O440" s="14" t="s">
        <v>64</v>
      </c>
      <c r="P440" s="14" t="s">
        <v>1764</v>
      </c>
      <c r="Q440" s="16">
        <v>46217.0</v>
      </c>
    </row>
    <row r="441">
      <c r="A441" s="13">
        <v>440.0</v>
      </c>
      <c r="B441" s="14" t="s">
        <v>786</v>
      </c>
      <c r="C441" s="14" t="s">
        <v>787</v>
      </c>
      <c r="D441" s="14" t="s">
        <v>788</v>
      </c>
      <c r="E441" s="14" t="s">
        <v>789</v>
      </c>
      <c r="F441" s="14" t="s">
        <v>207</v>
      </c>
      <c r="G441" s="14" t="s">
        <v>191</v>
      </c>
      <c r="H441" s="13">
        <v>3.0</v>
      </c>
      <c r="I441" s="14" t="s">
        <v>42</v>
      </c>
      <c r="J441" s="15" t="s">
        <v>1712</v>
      </c>
      <c r="K441" s="14" t="str">
        <f t="shared" si="1"/>
        <v>03</v>
      </c>
      <c r="L441" s="14" t="s">
        <v>1713</v>
      </c>
      <c r="M441" s="14" t="s">
        <v>1765</v>
      </c>
      <c r="N441" s="14" t="s">
        <v>791</v>
      </c>
      <c r="O441" s="16">
        <v>46381.0</v>
      </c>
      <c r="Q441" s="16">
        <v>46217.0</v>
      </c>
    </row>
    <row r="442">
      <c r="A442" s="13">
        <v>441.0</v>
      </c>
      <c r="B442" s="14" t="s">
        <v>1350</v>
      </c>
      <c r="C442" s="14" t="s">
        <v>1351</v>
      </c>
      <c r="D442" s="14" t="s">
        <v>1352</v>
      </c>
      <c r="E442" s="14" t="s">
        <v>1353</v>
      </c>
      <c r="F442" s="14" t="s">
        <v>154</v>
      </c>
      <c r="G442" s="14" t="s">
        <v>191</v>
      </c>
      <c r="H442" s="13">
        <v>3.0</v>
      </c>
      <c r="I442" s="14" t="s">
        <v>42</v>
      </c>
      <c r="J442" s="15" t="s">
        <v>1712</v>
      </c>
      <c r="K442" s="14" t="str">
        <f t="shared" si="1"/>
        <v>03</v>
      </c>
      <c r="L442" s="14" t="s">
        <v>1713</v>
      </c>
      <c r="M442" s="14" t="s">
        <v>1766</v>
      </c>
      <c r="N442" s="14" t="s">
        <v>1767</v>
      </c>
      <c r="O442" s="16">
        <v>46290.0</v>
      </c>
      <c r="P442" s="14" t="s">
        <v>1768</v>
      </c>
      <c r="Q442" s="16">
        <v>46280.0</v>
      </c>
    </row>
    <row r="443">
      <c r="A443" s="13">
        <v>442.0</v>
      </c>
      <c r="B443" s="14" t="s">
        <v>567</v>
      </c>
      <c r="C443" s="14" t="s">
        <v>568</v>
      </c>
      <c r="D443" s="14" t="s">
        <v>569</v>
      </c>
      <c r="E443" s="14" t="s">
        <v>570</v>
      </c>
      <c r="F443" s="14" t="s">
        <v>489</v>
      </c>
      <c r="G443" s="14" t="s">
        <v>191</v>
      </c>
      <c r="H443" s="13">
        <v>3.0</v>
      </c>
      <c r="I443" s="14" t="s">
        <v>61</v>
      </c>
      <c r="J443" s="15" t="s">
        <v>1712</v>
      </c>
      <c r="K443" s="14" t="str">
        <f t="shared" si="1"/>
        <v>03</v>
      </c>
      <c r="L443" s="14" t="s">
        <v>1713</v>
      </c>
      <c r="M443" s="14" t="s">
        <v>1769</v>
      </c>
      <c r="N443" s="14" t="s">
        <v>1770</v>
      </c>
      <c r="O443" s="14" t="s">
        <v>64</v>
      </c>
      <c r="P443" s="14" t="s">
        <v>1771</v>
      </c>
      <c r="Q443" s="16">
        <v>46247.0</v>
      </c>
    </row>
    <row r="444">
      <c r="A444" s="13">
        <v>443.0</v>
      </c>
      <c r="B444" s="14" t="s">
        <v>492</v>
      </c>
      <c r="C444" s="14" t="s">
        <v>493</v>
      </c>
      <c r="D444" s="14" t="s">
        <v>494</v>
      </c>
      <c r="E444" s="14" t="s">
        <v>495</v>
      </c>
      <c r="F444" s="14" t="s">
        <v>70</v>
      </c>
      <c r="G444" s="14" t="s">
        <v>191</v>
      </c>
      <c r="H444" s="13">
        <v>3.0</v>
      </c>
      <c r="I444" s="14" t="s">
        <v>61</v>
      </c>
      <c r="J444" s="15" t="s">
        <v>1712</v>
      </c>
      <c r="K444" s="14" t="str">
        <f t="shared" si="1"/>
        <v>03</v>
      </c>
      <c r="L444" s="14" t="s">
        <v>1713</v>
      </c>
      <c r="M444" s="14" t="s">
        <v>1772</v>
      </c>
      <c r="N444" s="14" t="s">
        <v>1773</v>
      </c>
      <c r="O444" s="14" t="s">
        <v>64</v>
      </c>
      <c r="P444" s="14" t="s">
        <v>1774</v>
      </c>
      <c r="Q444" s="16">
        <v>46225.0</v>
      </c>
    </row>
    <row r="445">
      <c r="A445" s="13">
        <v>444.0</v>
      </c>
      <c r="B445" s="14" t="s">
        <v>203</v>
      </c>
      <c r="C445" s="14" t="s">
        <v>204</v>
      </c>
      <c r="D445" s="14" t="s">
        <v>205</v>
      </c>
      <c r="E445" s="14" t="s">
        <v>206</v>
      </c>
      <c r="F445" s="14" t="s">
        <v>207</v>
      </c>
      <c r="G445" s="14" t="s">
        <v>191</v>
      </c>
      <c r="H445" s="13">
        <v>3.0</v>
      </c>
      <c r="I445" s="14" t="s">
        <v>61</v>
      </c>
      <c r="J445" s="15" t="s">
        <v>1712</v>
      </c>
      <c r="K445" s="14" t="str">
        <f t="shared" si="1"/>
        <v>03</v>
      </c>
      <c r="L445" s="14" t="s">
        <v>1713</v>
      </c>
      <c r="M445" s="14" t="s">
        <v>1775</v>
      </c>
      <c r="N445" s="14" t="s">
        <v>740</v>
      </c>
      <c r="O445" s="14" t="s">
        <v>64</v>
      </c>
      <c r="P445" s="14" t="s">
        <v>741</v>
      </c>
      <c r="Q445" s="16">
        <v>46283.0</v>
      </c>
    </row>
    <row r="446">
      <c r="A446" s="13">
        <v>445.0</v>
      </c>
      <c r="B446" s="14" t="s">
        <v>398</v>
      </c>
      <c r="C446" s="14" t="s">
        <v>399</v>
      </c>
      <c r="D446" s="14" t="s">
        <v>400</v>
      </c>
      <c r="E446" s="14" t="s">
        <v>401</v>
      </c>
      <c r="F446" s="14" t="s">
        <v>40</v>
      </c>
      <c r="G446" s="14" t="s">
        <v>222</v>
      </c>
      <c r="H446" s="13">
        <v>3.0</v>
      </c>
      <c r="I446" s="14" t="s">
        <v>42</v>
      </c>
      <c r="J446" s="15" t="s">
        <v>1712</v>
      </c>
      <c r="K446" s="14" t="str">
        <f t="shared" si="1"/>
        <v>03</v>
      </c>
      <c r="L446" s="14" t="s">
        <v>1713</v>
      </c>
      <c r="M446" s="14" t="s">
        <v>1776</v>
      </c>
      <c r="N446" s="14" t="s">
        <v>667</v>
      </c>
      <c r="O446" s="16">
        <v>46291.0</v>
      </c>
      <c r="P446" s="14" t="s">
        <v>1777</v>
      </c>
      <c r="Q446" s="16">
        <v>46230.0</v>
      </c>
    </row>
    <row r="447">
      <c r="A447" s="13">
        <v>446.0</v>
      </c>
      <c r="B447" s="14" t="s">
        <v>398</v>
      </c>
      <c r="C447" s="14" t="s">
        <v>399</v>
      </c>
      <c r="D447" s="14" t="s">
        <v>400</v>
      </c>
      <c r="E447" s="14" t="s">
        <v>945</v>
      </c>
      <c r="F447" s="14" t="s">
        <v>489</v>
      </c>
      <c r="G447" s="14" t="s">
        <v>222</v>
      </c>
      <c r="H447" s="13">
        <v>3.0</v>
      </c>
      <c r="I447" s="14" t="s">
        <v>42</v>
      </c>
      <c r="J447" s="15" t="s">
        <v>1712</v>
      </c>
      <c r="K447" s="14" t="str">
        <f t="shared" si="1"/>
        <v>03</v>
      </c>
      <c r="L447" s="14" t="s">
        <v>1713</v>
      </c>
      <c r="M447" s="14" t="s">
        <v>1778</v>
      </c>
      <c r="N447" s="14" t="s">
        <v>1779</v>
      </c>
      <c r="O447" s="16">
        <v>46291.0</v>
      </c>
      <c r="Q447" s="16">
        <v>46230.0</v>
      </c>
    </row>
    <row r="448">
      <c r="A448" s="13">
        <v>447.0</v>
      </c>
      <c r="B448" s="14" t="s">
        <v>638</v>
      </c>
      <c r="C448" s="14" t="s">
        <v>639</v>
      </c>
      <c r="D448" s="14" t="s">
        <v>640</v>
      </c>
      <c r="E448" s="14" t="s">
        <v>641</v>
      </c>
      <c r="F448" s="14" t="s">
        <v>40</v>
      </c>
      <c r="G448" s="14" t="s">
        <v>222</v>
      </c>
      <c r="H448" s="13">
        <v>3.0</v>
      </c>
      <c r="I448" s="14" t="s">
        <v>61</v>
      </c>
      <c r="J448" s="15" t="s">
        <v>1712</v>
      </c>
      <c r="K448" s="14" t="str">
        <f t="shared" si="1"/>
        <v>03</v>
      </c>
      <c r="L448" s="14" t="s">
        <v>1713</v>
      </c>
      <c r="M448" s="14" t="s">
        <v>1780</v>
      </c>
      <c r="N448" s="14" t="s">
        <v>643</v>
      </c>
      <c r="O448" s="14" t="s">
        <v>64</v>
      </c>
      <c r="P448" s="14" t="s">
        <v>1781</v>
      </c>
      <c r="Q448" s="16">
        <v>46230.0</v>
      </c>
    </row>
    <row r="449">
      <c r="A449" s="13">
        <v>448.0</v>
      </c>
      <c r="B449" s="14" t="s">
        <v>246</v>
      </c>
      <c r="C449" s="14" t="s">
        <v>247</v>
      </c>
      <c r="D449" s="14" t="s">
        <v>248</v>
      </c>
      <c r="E449" s="14" t="s">
        <v>253</v>
      </c>
      <c r="F449" s="14" t="s">
        <v>40</v>
      </c>
      <c r="G449" s="14" t="s">
        <v>222</v>
      </c>
      <c r="H449" s="13">
        <v>3.0</v>
      </c>
      <c r="I449" s="14" t="s">
        <v>42</v>
      </c>
      <c r="J449" s="15" t="s">
        <v>1712</v>
      </c>
      <c r="K449" s="14" t="str">
        <f t="shared" si="1"/>
        <v>03</v>
      </c>
      <c r="L449" s="14" t="s">
        <v>1713</v>
      </c>
      <c r="M449" s="14" t="s">
        <v>1782</v>
      </c>
      <c r="N449" s="14" t="s">
        <v>753</v>
      </c>
      <c r="O449" s="16">
        <v>46290.0</v>
      </c>
      <c r="Q449" s="16">
        <v>46230.0</v>
      </c>
    </row>
    <row r="450">
      <c r="A450" s="13">
        <v>449.0</v>
      </c>
      <c r="B450" s="14" t="s">
        <v>958</v>
      </c>
      <c r="C450" s="14" t="s">
        <v>959</v>
      </c>
      <c r="D450" s="14" t="s">
        <v>960</v>
      </c>
      <c r="E450" s="14" t="s">
        <v>961</v>
      </c>
      <c r="F450" s="14" t="s">
        <v>60</v>
      </c>
      <c r="G450" s="14" t="s">
        <v>261</v>
      </c>
      <c r="H450" s="13">
        <v>3.0</v>
      </c>
      <c r="I450" s="14" t="s">
        <v>42</v>
      </c>
      <c r="J450" s="15" t="s">
        <v>1712</v>
      </c>
      <c r="K450" s="14" t="str">
        <f t="shared" si="1"/>
        <v>03</v>
      </c>
      <c r="L450" s="14" t="s">
        <v>1713</v>
      </c>
      <c r="M450" s="14" t="s">
        <v>1783</v>
      </c>
      <c r="N450" s="14" t="s">
        <v>1784</v>
      </c>
      <c r="O450" s="16">
        <v>46317.0</v>
      </c>
      <c r="Q450" s="16">
        <v>46232.0</v>
      </c>
    </row>
    <row r="451">
      <c r="A451" s="13">
        <v>450.0</v>
      </c>
      <c r="B451" s="14" t="s">
        <v>460</v>
      </c>
      <c r="C451" s="14" t="s">
        <v>461</v>
      </c>
      <c r="D451" s="14" t="s">
        <v>462</v>
      </c>
      <c r="E451" s="14" t="s">
        <v>463</v>
      </c>
      <c r="F451" s="14" t="s">
        <v>40</v>
      </c>
      <c r="G451" s="14" t="s">
        <v>261</v>
      </c>
      <c r="H451" s="13">
        <v>3.0</v>
      </c>
      <c r="I451" s="14" t="s">
        <v>42</v>
      </c>
      <c r="J451" s="15" t="s">
        <v>1712</v>
      </c>
      <c r="K451" s="14" t="str">
        <f t="shared" si="1"/>
        <v>03</v>
      </c>
      <c r="L451" s="14" t="s">
        <v>1713</v>
      </c>
      <c r="M451" s="14" t="s">
        <v>1785</v>
      </c>
      <c r="N451" s="14" t="s">
        <v>1786</v>
      </c>
      <c r="O451" s="14" t="s">
        <v>64</v>
      </c>
      <c r="P451" s="14" t="s">
        <v>1787</v>
      </c>
      <c r="Q451" s="16">
        <v>46255.0</v>
      </c>
    </row>
    <row r="452">
      <c r="A452" s="13">
        <v>451.0</v>
      </c>
      <c r="B452" s="14" t="s">
        <v>272</v>
      </c>
      <c r="C452" s="14" t="s">
        <v>273</v>
      </c>
      <c r="D452" s="14" t="s">
        <v>274</v>
      </c>
      <c r="E452" s="14" t="s">
        <v>275</v>
      </c>
      <c r="F452" s="14" t="s">
        <v>40</v>
      </c>
      <c r="G452" s="14" t="s">
        <v>261</v>
      </c>
      <c r="H452" s="13">
        <v>3.0</v>
      </c>
      <c r="I452" s="14" t="s">
        <v>42</v>
      </c>
      <c r="J452" s="15" t="s">
        <v>1712</v>
      </c>
      <c r="K452" s="14" t="str">
        <f t="shared" si="1"/>
        <v>03</v>
      </c>
      <c r="L452" s="14" t="s">
        <v>1713</v>
      </c>
      <c r="M452" s="14" t="s">
        <v>1788</v>
      </c>
      <c r="N452" s="14" t="s">
        <v>1789</v>
      </c>
      <c r="O452" s="16">
        <v>46318.0</v>
      </c>
      <c r="Q452" s="16">
        <v>46233.0</v>
      </c>
    </row>
    <row r="453">
      <c r="A453" s="13">
        <v>452.0</v>
      </c>
      <c r="B453" s="14" t="s">
        <v>964</v>
      </c>
      <c r="C453" s="14" t="s">
        <v>965</v>
      </c>
      <c r="D453" s="14" t="s">
        <v>966</v>
      </c>
      <c r="E453" s="14" t="s">
        <v>967</v>
      </c>
      <c r="F453" s="14" t="s">
        <v>40</v>
      </c>
      <c r="G453" s="14" t="s">
        <v>261</v>
      </c>
      <c r="H453" s="13">
        <v>3.0</v>
      </c>
      <c r="I453" s="14" t="s">
        <v>61</v>
      </c>
      <c r="J453" s="15" t="s">
        <v>1712</v>
      </c>
      <c r="K453" s="14" t="str">
        <f t="shared" si="1"/>
        <v>03</v>
      </c>
      <c r="L453" s="14" t="s">
        <v>1713</v>
      </c>
      <c r="M453" s="14" t="s">
        <v>1790</v>
      </c>
      <c r="N453" s="14" t="s">
        <v>1791</v>
      </c>
      <c r="O453" s="14" t="s">
        <v>64</v>
      </c>
      <c r="P453" s="14" t="s">
        <v>1792</v>
      </c>
      <c r="Q453" s="16">
        <v>46286.0</v>
      </c>
    </row>
    <row r="454">
      <c r="A454" s="13">
        <v>453.0</v>
      </c>
      <c r="B454" s="14" t="s">
        <v>1667</v>
      </c>
      <c r="C454" s="14" t="s">
        <v>1668</v>
      </c>
      <c r="D454" s="14" t="s">
        <v>1669</v>
      </c>
      <c r="E454" s="14" t="s">
        <v>1670</v>
      </c>
      <c r="F454" s="14" t="s">
        <v>40</v>
      </c>
      <c r="G454" s="14" t="s">
        <v>261</v>
      </c>
      <c r="H454" s="13">
        <v>3.0</v>
      </c>
      <c r="I454" s="14" t="s">
        <v>42</v>
      </c>
      <c r="J454" s="15" t="s">
        <v>1712</v>
      </c>
      <c r="K454" s="14" t="str">
        <f t="shared" si="1"/>
        <v>03</v>
      </c>
      <c r="L454" s="14" t="s">
        <v>1713</v>
      </c>
      <c r="M454" s="14" t="s">
        <v>1793</v>
      </c>
      <c r="N454" s="14" t="s">
        <v>1794</v>
      </c>
      <c r="O454" s="16">
        <v>46290.0</v>
      </c>
      <c r="Q454" s="16">
        <v>46233.0</v>
      </c>
    </row>
    <row r="455">
      <c r="A455" s="13">
        <v>454.0</v>
      </c>
      <c r="B455" s="14" t="s">
        <v>310</v>
      </c>
      <c r="C455" s="14" t="s">
        <v>311</v>
      </c>
      <c r="D455" s="14" t="s">
        <v>313</v>
      </c>
      <c r="E455" s="14" t="s">
        <v>314</v>
      </c>
      <c r="F455" s="14" t="s">
        <v>162</v>
      </c>
      <c r="G455" s="14" t="s">
        <v>261</v>
      </c>
      <c r="H455" s="13">
        <v>3.0</v>
      </c>
      <c r="I455" s="14" t="s">
        <v>42</v>
      </c>
      <c r="J455" s="15" t="s">
        <v>1712</v>
      </c>
      <c r="K455" s="14" t="str">
        <f t="shared" si="1"/>
        <v>03</v>
      </c>
      <c r="L455" s="14" t="s">
        <v>1713</v>
      </c>
      <c r="M455" s="14" t="s">
        <v>1795</v>
      </c>
      <c r="N455" s="14" t="s">
        <v>762</v>
      </c>
      <c r="O455" s="14" t="s">
        <v>64</v>
      </c>
      <c r="P455" s="14" t="s">
        <v>1796</v>
      </c>
      <c r="Q455" s="16">
        <v>46252.0</v>
      </c>
    </row>
    <row r="456">
      <c r="A456" s="13">
        <v>455.0</v>
      </c>
      <c r="B456" s="14" t="s">
        <v>1680</v>
      </c>
      <c r="C456" s="14" t="s">
        <v>1681</v>
      </c>
      <c r="D456" s="14" t="s">
        <v>1682</v>
      </c>
      <c r="E456" s="14" t="s">
        <v>1683</v>
      </c>
      <c r="F456" s="14" t="s">
        <v>207</v>
      </c>
      <c r="G456" s="14" t="s">
        <v>297</v>
      </c>
      <c r="H456" s="13">
        <v>3.0</v>
      </c>
      <c r="I456" s="14" t="s">
        <v>42</v>
      </c>
      <c r="J456" s="15" t="s">
        <v>1712</v>
      </c>
      <c r="K456" s="14" t="str">
        <f t="shared" si="1"/>
        <v>03</v>
      </c>
      <c r="L456" s="14" t="s">
        <v>1713</v>
      </c>
      <c r="M456" s="14" t="s">
        <v>1797</v>
      </c>
      <c r="N456" s="14" t="s">
        <v>1798</v>
      </c>
      <c r="O456" s="16">
        <v>46303.0</v>
      </c>
      <c r="Q456" s="16">
        <v>46238.0</v>
      </c>
    </row>
    <row r="457">
      <c r="A457" s="13">
        <v>456.0</v>
      </c>
      <c r="B457" s="14" t="s">
        <v>478</v>
      </c>
      <c r="C457" s="14" t="s">
        <v>479</v>
      </c>
      <c r="D457" s="14" t="s">
        <v>480</v>
      </c>
      <c r="E457" s="14" t="s">
        <v>481</v>
      </c>
      <c r="F457" s="14" t="s">
        <v>70</v>
      </c>
      <c r="G457" s="14" t="s">
        <v>297</v>
      </c>
      <c r="H457" s="13">
        <v>3.0</v>
      </c>
      <c r="I457" s="14" t="s">
        <v>42</v>
      </c>
      <c r="J457" s="15" t="s">
        <v>1712</v>
      </c>
      <c r="K457" s="14" t="str">
        <f t="shared" si="1"/>
        <v>03</v>
      </c>
      <c r="L457" s="14" t="s">
        <v>1713</v>
      </c>
      <c r="M457" s="14" t="s">
        <v>1799</v>
      </c>
      <c r="N457" s="14" t="s">
        <v>1800</v>
      </c>
      <c r="O457" s="16">
        <v>46301.0</v>
      </c>
      <c r="Q457" s="16">
        <v>46238.0</v>
      </c>
    </row>
    <row r="458">
      <c r="A458" s="13">
        <v>457.0</v>
      </c>
      <c r="B458" s="14" t="s">
        <v>1389</v>
      </c>
      <c r="C458" s="14" t="s">
        <v>1390</v>
      </c>
      <c r="D458" s="14" t="s">
        <v>1391</v>
      </c>
      <c r="E458" s="14" t="s">
        <v>1392</v>
      </c>
      <c r="F458" s="14" t="s">
        <v>70</v>
      </c>
      <c r="G458" s="14" t="s">
        <v>297</v>
      </c>
      <c r="H458" s="13">
        <v>3.0</v>
      </c>
      <c r="I458" s="14" t="s">
        <v>42</v>
      </c>
      <c r="J458" s="15" t="s">
        <v>1712</v>
      </c>
      <c r="K458" s="14" t="str">
        <f t="shared" si="1"/>
        <v>03</v>
      </c>
      <c r="L458" s="14" t="s">
        <v>1713</v>
      </c>
      <c r="M458" s="14" t="s">
        <v>1801</v>
      </c>
      <c r="N458" s="14" t="s">
        <v>1802</v>
      </c>
      <c r="O458" s="16">
        <v>46301.0</v>
      </c>
      <c r="Q458" s="16">
        <v>46238.0</v>
      </c>
    </row>
    <row r="459">
      <c r="A459" s="13">
        <v>458.0</v>
      </c>
      <c r="B459" s="14" t="s">
        <v>340</v>
      </c>
      <c r="C459" s="14" t="s">
        <v>341</v>
      </c>
      <c r="D459" s="14" t="s">
        <v>342</v>
      </c>
      <c r="E459" s="14" t="s">
        <v>343</v>
      </c>
      <c r="F459" s="14" t="s">
        <v>207</v>
      </c>
      <c r="G459" s="14" t="s">
        <v>329</v>
      </c>
      <c r="H459" s="13">
        <v>3.0</v>
      </c>
      <c r="I459" s="14" t="s">
        <v>61</v>
      </c>
      <c r="J459" s="15" t="s">
        <v>1712</v>
      </c>
      <c r="K459" s="14" t="str">
        <f t="shared" si="1"/>
        <v>03</v>
      </c>
      <c r="L459" s="14" t="s">
        <v>1713</v>
      </c>
      <c r="M459" s="14" t="s">
        <v>1803</v>
      </c>
      <c r="N459" s="14" t="s">
        <v>1804</v>
      </c>
      <c r="O459" s="16">
        <v>46292.0</v>
      </c>
      <c r="P459" s="14" t="s">
        <v>1805</v>
      </c>
      <c r="Q459" s="16">
        <v>46275.0</v>
      </c>
    </row>
    <row r="460">
      <c r="A460" s="13">
        <v>459.0</v>
      </c>
      <c r="B460" s="14" t="s">
        <v>586</v>
      </c>
      <c r="C460" s="14" t="s">
        <v>587</v>
      </c>
      <c r="D460" s="14" t="s">
        <v>588</v>
      </c>
      <c r="E460" s="14" t="s">
        <v>589</v>
      </c>
      <c r="F460" s="14" t="s">
        <v>40</v>
      </c>
      <c r="G460" s="14" t="s">
        <v>41</v>
      </c>
      <c r="H460" s="13">
        <v>3.0</v>
      </c>
      <c r="I460" s="14" t="s">
        <v>42</v>
      </c>
      <c r="J460" s="15" t="s">
        <v>1806</v>
      </c>
      <c r="K460" s="14" t="str">
        <f t="shared" si="1"/>
        <v>04</v>
      </c>
      <c r="L460" s="14" t="s">
        <v>1807</v>
      </c>
      <c r="M460" s="14" t="s">
        <v>1808</v>
      </c>
      <c r="N460" s="14" t="s">
        <v>826</v>
      </c>
      <c r="O460" s="16">
        <v>46265.0</v>
      </c>
      <c r="Q460" s="16">
        <v>46147.0</v>
      </c>
    </row>
    <row r="461">
      <c r="A461" s="13">
        <v>460.0</v>
      </c>
      <c r="B461" s="14" t="s">
        <v>690</v>
      </c>
      <c r="C461" s="14" t="s">
        <v>691</v>
      </c>
      <c r="D461" s="14" t="s">
        <v>692</v>
      </c>
      <c r="E461" s="14" t="s">
        <v>693</v>
      </c>
      <c r="F461" s="14" t="s">
        <v>70</v>
      </c>
      <c r="G461" s="14" t="s">
        <v>109</v>
      </c>
      <c r="H461" s="13">
        <v>3.0</v>
      </c>
      <c r="I461" s="14" t="s">
        <v>61</v>
      </c>
      <c r="J461" s="15" t="s">
        <v>1806</v>
      </c>
      <c r="K461" s="14" t="str">
        <f t="shared" si="1"/>
        <v>04</v>
      </c>
      <c r="L461" s="14" t="s">
        <v>1807</v>
      </c>
      <c r="M461" s="14" t="s">
        <v>1809</v>
      </c>
      <c r="N461" s="14" t="s">
        <v>863</v>
      </c>
      <c r="O461" s="16">
        <v>46290.0</v>
      </c>
      <c r="P461" s="14" t="s">
        <v>1810</v>
      </c>
      <c r="Q461" s="16">
        <v>46238.0</v>
      </c>
    </row>
    <row r="462">
      <c r="A462" s="13">
        <v>461.0</v>
      </c>
      <c r="B462" s="14" t="s">
        <v>697</v>
      </c>
      <c r="C462" s="14" t="s">
        <v>698</v>
      </c>
      <c r="D462" s="14" t="s">
        <v>699</v>
      </c>
      <c r="E462" s="14" t="s">
        <v>700</v>
      </c>
      <c r="F462" s="14" t="s">
        <v>489</v>
      </c>
      <c r="G462" s="14" t="s">
        <v>109</v>
      </c>
      <c r="H462" s="13">
        <v>3.0</v>
      </c>
      <c r="I462" s="14" t="s">
        <v>61</v>
      </c>
      <c r="J462" s="15" t="s">
        <v>1806</v>
      </c>
      <c r="K462" s="14" t="str">
        <f t="shared" si="1"/>
        <v>04</v>
      </c>
      <c r="L462" s="14" t="s">
        <v>1807</v>
      </c>
      <c r="M462" s="14" t="s">
        <v>1811</v>
      </c>
      <c r="N462" s="14" t="s">
        <v>1812</v>
      </c>
      <c r="O462" s="14" t="s">
        <v>64</v>
      </c>
      <c r="P462" s="14" t="s">
        <v>1813</v>
      </c>
      <c r="Q462" s="16">
        <v>46188.0</v>
      </c>
    </row>
    <row r="463">
      <c r="A463" s="13">
        <v>462.0</v>
      </c>
      <c r="B463" s="14" t="s">
        <v>1728</v>
      </c>
      <c r="C463" s="14" t="s">
        <v>1729</v>
      </c>
      <c r="D463" s="14" t="s">
        <v>1730</v>
      </c>
      <c r="E463" s="14" t="s">
        <v>1731</v>
      </c>
      <c r="F463" s="14" t="s">
        <v>178</v>
      </c>
      <c r="G463" s="14" t="s">
        <v>109</v>
      </c>
      <c r="H463" s="13">
        <v>3.0</v>
      </c>
      <c r="I463" s="14" t="s">
        <v>61</v>
      </c>
      <c r="J463" s="15" t="s">
        <v>1806</v>
      </c>
      <c r="K463" s="14" t="str">
        <f t="shared" si="1"/>
        <v>04</v>
      </c>
      <c r="L463" s="14" t="s">
        <v>1807</v>
      </c>
      <c r="M463" s="14" t="s">
        <v>1814</v>
      </c>
      <c r="N463" s="14" t="s">
        <v>1815</v>
      </c>
      <c r="O463" s="14" t="s">
        <v>64</v>
      </c>
      <c r="P463" s="14" t="s">
        <v>1816</v>
      </c>
      <c r="Q463" s="16">
        <v>46191.0</v>
      </c>
    </row>
    <row r="464">
      <c r="A464" s="13">
        <v>463.0</v>
      </c>
      <c r="B464" s="14" t="s">
        <v>615</v>
      </c>
      <c r="C464" s="14" t="s">
        <v>616</v>
      </c>
      <c r="D464" s="14" t="s">
        <v>617</v>
      </c>
      <c r="E464" s="14" t="s">
        <v>618</v>
      </c>
      <c r="F464" s="14" t="s">
        <v>40</v>
      </c>
      <c r="G464" s="14" t="s">
        <v>109</v>
      </c>
      <c r="H464" s="13">
        <v>3.0</v>
      </c>
      <c r="I464" s="14" t="s">
        <v>61</v>
      </c>
      <c r="J464" s="15" t="s">
        <v>1806</v>
      </c>
      <c r="K464" s="14" t="str">
        <f t="shared" si="1"/>
        <v>04</v>
      </c>
      <c r="L464" s="14" t="s">
        <v>1807</v>
      </c>
      <c r="M464" s="14" t="s">
        <v>1817</v>
      </c>
      <c r="N464" s="14" t="s">
        <v>866</v>
      </c>
      <c r="O464" s="16">
        <v>46234.0</v>
      </c>
      <c r="P464" s="14" t="s">
        <v>1818</v>
      </c>
      <c r="Q464" s="16">
        <v>46161.0</v>
      </c>
    </row>
    <row r="465">
      <c r="A465" s="13">
        <v>464.0</v>
      </c>
      <c r="B465" s="14" t="s">
        <v>767</v>
      </c>
      <c r="C465" s="14" t="s">
        <v>768</v>
      </c>
      <c r="D465" s="14" t="s">
        <v>769</v>
      </c>
      <c r="E465" s="14" t="s">
        <v>770</v>
      </c>
      <c r="F465" s="14" t="s">
        <v>178</v>
      </c>
      <c r="G465" s="14" t="s">
        <v>109</v>
      </c>
      <c r="H465" s="13">
        <v>3.0</v>
      </c>
      <c r="I465" s="14" t="s">
        <v>61</v>
      </c>
      <c r="J465" s="15" t="s">
        <v>1806</v>
      </c>
      <c r="K465" s="14" t="str">
        <f t="shared" si="1"/>
        <v>04</v>
      </c>
      <c r="L465" s="14" t="s">
        <v>1807</v>
      </c>
      <c r="M465" s="14" t="s">
        <v>1819</v>
      </c>
      <c r="N465" s="14" t="s">
        <v>869</v>
      </c>
      <c r="O465" s="14" t="s">
        <v>64</v>
      </c>
      <c r="P465" s="14" t="s">
        <v>1820</v>
      </c>
      <c r="Q465" s="16">
        <v>46171.0</v>
      </c>
    </row>
    <row r="466">
      <c r="A466" s="13">
        <v>465.0</v>
      </c>
      <c r="B466" s="14" t="s">
        <v>767</v>
      </c>
      <c r="C466" s="14" t="s">
        <v>768</v>
      </c>
      <c r="D466" s="14" t="s">
        <v>769</v>
      </c>
      <c r="E466" s="14" t="s">
        <v>776</v>
      </c>
      <c r="F466" s="14" t="s">
        <v>60</v>
      </c>
      <c r="G466" s="14" t="s">
        <v>109</v>
      </c>
      <c r="H466" s="13">
        <v>3.0</v>
      </c>
      <c r="I466" s="14" t="s">
        <v>61</v>
      </c>
      <c r="J466" s="15" t="s">
        <v>1806</v>
      </c>
      <c r="K466" s="14" t="str">
        <f t="shared" si="1"/>
        <v>04</v>
      </c>
      <c r="L466" s="14" t="s">
        <v>1807</v>
      </c>
      <c r="M466" s="14" t="s">
        <v>1819</v>
      </c>
      <c r="N466" s="14" t="s">
        <v>869</v>
      </c>
      <c r="O466" s="14" t="s">
        <v>64</v>
      </c>
      <c r="P466" s="14" t="s">
        <v>1821</v>
      </c>
      <c r="Q466" s="16">
        <v>46171.0</v>
      </c>
    </row>
    <row r="467">
      <c r="A467" s="13">
        <v>466.0</v>
      </c>
      <c r="B467" s="14" t="s">
        <v>365</v>
      </c>
      <c r="C467" s="14" t="s">
        <v>366</v>
      </c>
      <c r="D467" s="14" t="s">
        <v>368</v>
      </c>
      <c r="E467" s="14" t="s">
        <v>369</v>
      </c>
      <c r="F467" s="14" t="s">
        <v>40</v>
      </c>
      <c r="G467" s="14" t="s">
        <v>109</v>
      </c>
      <c r="H467" s="13">
        <v>3.0</v>
      </c>
      <c r="I467" s="14" t="s">
        <v>42</v>
      </c>
      <c r="J467" s="15" t="s">
        <v>1806</v>
      </c>
      <c r="K467" s="14" t="str">
        <f t="shared" si="1"/>
        <v>04</v>
      </c>
      <c r="L467" s="14" t="s">
        <v>1807</v>
      </c>
      <c r="M467" s="14" t="s">
        <v>1822</v>
      </c>
      <c r="N467" s="14" t="s">
        <v>876</v>
      </c>
      <c r="O467" s="16">
        <v>46285.0</v>
      </c>
      <c r="Q467" s="16">
        <v>46162.0</v>
      </c>
    </row>
    <row r="468">
      <c r="A468" s="13">
        <v>467.0</v>
      </c>
      <c r="B468" s="14" t="s">
        <v>129</v>
      </c>
      <c r="C468" s="14" t="s">
        <v>130</v>
      </c>
      <c r="D468" s="14" t="s">
        <v>131</v>
      </c>
      <c r="E468" s="14" t="s">
        <v>132</v>
      </c>
      <c r="F468" s="14" t="s">
        <v>40</v>
      </c>
      <c r="G468" s="14" t="s">
        <v>124</v>
      </c>
      <c r="H468" s="13">
        <v>3.0</v>
      </c>
      <c r="I468" s="14" t="s">
        <v>61</v>
      </c>
      <c r="J468" s="15" t="s">
        <v>1806</v>
      </c>
      <c r="K468" s="14" t="str">
        <f t="shared" si="1"/>
        <v>04</v>
      </c>
      <c r="L468" s="14" t="s">
        <v>1807</v>
      </c>
      <c r="M468" s="14" t="s">
        <v>1823</v>
      </c>
      <c r="N468" s="14" t="s">
        <v>881</v>
      </c>
      <c r="O468" s="16">
        <v>46285.0</v>
      </c>
      <c r="P468" s="14" t="s">
        <v>1824</v>
      </c>
      <c r="Q468" s="16">
        <v>46175.0</v>
      </c>
    </row>
    <row r="469">
      <c r="A469" s="13">
        <v>468.0</v>
      </c>
      <c r="B469" s="14" t="s">
        <v>1474</v>
      </c>
      <c r="C469" s="14" t="s">
        <v>1475</v>
      </c>
      <c r="D469" s="14" t="s">
        <v>1476</v>
      </c>
      <c r="E469" s="14" t="s">
        <v>1477</v>
      </c>
      <c r="F469" s="14" t="s">
        <v>40</v>
      </c>
      <c r="G469" s="14" t="s">
        <v>124</v>
      </c>
      <c r="H469" s="13">
        <v>3.0</v>
      </c>
      <c r="I469" s="14" t="s">
        <v>61</v>
      </c>
      <c r="J469" s="15" t="s">
        <v>1806</v>
      </c>
      <c r="K469" s="14" t="str">
        <f t="shared" si="1"/>
        <v>04</v>
      </c>
      <c r="L469" s="14" t="s">
        <v>1807</v>
      </c>
      <c r="M469" s="14" t="s">
        <v>1825</v>
      </c>
      <c r="N469" s="14" t="s">
        <v>1826</v>
      </c>
      <c r="O469" s="14" t="s">
        <v>64</v>
      </c>
      <c r="P469" s="14" t="s">
        <v>1827</v>
      </c>
      <c r="Q469" s="16">
        <v>46218.0</v>
      </c>
    </row>
    <row r="470">
      <c r="A470" s="13">
        <v>469.0</v>
      </c>
      <c r="B470" s="14" t="s">
        <v>557</v>
      </c>
      <c r="C470" s="14" t="s">
        <v>558</v>
      </c>
      <c r="D470" s="14" t="s">
        <v>559</v>
      </c>
      <c r="E470" s="14" t="s">
        <v>560</v>
      </c>
      <c r="F470" s="14" t="s">
        <v>40</v>
      </c>
      <c r="G470" s="14" t="s">
        <v>124</v>
      </c>
      <c r="H470" s="13">
        <v>3.0</v>
      </c>
      <c r="I470" s="14" t="s">
        <v>42</v>
      </c>
      <c r="J470" s="15" t="s">
        <v>1806</v>
      </c>
      <c r="K470" s="14" t="str">
        <f t="shared" si="1"/>
        <v>04</v>
      </c>
      <c r="L470" s="14" t="s">
        <v>1807</v>
      </c>
      <c r="M470" s="14" t="s">
        <v>1828</v>
      </c>
      <c r="N470" s="14" t="s">
        <v>1829</v>
      </c>
      <c r="O470" s="16">
        <v>46284.0</v>
      </c>
      <c r="Q470" s="16">
        <v>46175.0</v>
      </c>
    </row>
    <row r="471">
      <c r="A471" s="13">
        <v>470.0</v>
      </c>
      <c r="B471" s="14" t="s">
        <v>174</v>
      </c>
      <c r="C471" s="14" t="s">
        <v>175</v>
      </c>
      <c r="D471" s="14" t="s">
        <v>176</v>
      </c>
      <c r="E471" s="14" t="s">
        <v>177</v>
      </c>
      <c r="F471" s="14" t="s">
        <v>178</v>
      </c>
      <c r="G471" s="14" t="s">
        <v>146</v>
      </c>
      <c r="H471" s="13">
        <v>3.0</v>
      </c>
      <c r="I471" s="14" t="s">
        <v>42</v>
      </c>
      <c r="J471" s="15" t="s">
        <v>1806</v>
      </c>
      <c r="K471" s="14" t="str">
        <f t="shared" si="1"/>
        <v>04</v>
      </c>
      <c r="L471" s="14" t="s">
        <v>1807</v>
      </c>
      <c r="M471" s="14" t="s">
        <v>1830</v>
      </c>
      <c r="N471" s="14" t="s">
        <v>1831</v>
      </c>
      <c r="O471" s="16">
        <v>46297.0</v>
      </c>
      <c r="Q471" s="16">
        <v>46195.0</v>
      </c>
    </row>
    <row r="472">
      <c r="A472" s="13">
        <v>471.0</v>
      </c>
      <c r="B472" s="14" t="s">
        <v>196</v>
      </c>
      <c r="C472" s="14" t="s">
        <v>197</v>
      </c>
      <c r="D472" s="14" t="s">
        <v>198</v>
      </c>
      <c r="E472" s="14" t="s">
        <v>734</v>
      </c>
      <c r="F472" s="14" t="s">
        <v>527</v>
      </c>
      <c r="G472" s="14" t="s">
        <v>191</v>
      </c>
      <c r="H472" s="13">
        <v>3.0</v>
      </c>
      <c r="I472" s="14" t="s">
        <v>42</v>
      </c>
      <c r="J472" s="15" t="s">
        <v>1806</v>
      </c>
      <c r="K472" s="14" t="str">
        <f t="shared" si="1"/>
        <v>04</v>
      </c>
      <c r="L472" s="14" t="s">
        <v>1807</v>
      </c>
      <c r="M472" s="14" t="s">
        <v>1832</v>
      </c>
      <c r="N472" s="14" t="s">
        <v>1833</v>
      </c>
      <c r="O472" s="16">
        <v>46289.0</v>
      </c>
      <c r="Q472" s="16">
        <v>46217.0</v>
      </c>
    </row>
    <row r="473">
      <c r="A473" s="13">
        <v>472.0</v>
      </c>
      <c r="B473" s="14" t="s">
        <v>196</v>
      </c>
      <c r="C473" s="14" t="s">
        <v>197</v>
      </c>
      <c r="D473" s="14" t="s">
        <v>198</v>
      </c>
      <c r="E473" s="14" t="s">
        <v>1006</v>
      </c>
      <c r="F473" s="14" t="s">
        <v>543</v>
      </c>
      <c r="G473" s="14" t="s">
        <v>191</v>
      </c>
      <c r="H473" s="13">
        <v>3.0</v>
      </c>
      <c r="I473" s="14" t="s">
        <v>42</v>
      </c>
      <c r="J473" s="15" t="s">
        <v>1806</v>
      </c>
      <c r="K473" s="14" t="str">
        <f t="shared" si="1"/>
        <v>04</v>
      </c>
      <c r="L473" s="14" t="s">
        <v>1807</v>
      </c>
      <c r="M473" s="14" t="s">
        <v>1834</v>
      </c>
      <c r="N473" s="14" t="s">
        <v>1835</v>
      </c>
      <c r="O473" s="16">
        <v>46294.0</v>
      </c>
      <c r="Q473" s="16">
        <v>46217.0</v>
      </c>
    </row>
    <row r="474">
      <c r="A474" s="13">
        <v>473.0</v>
      </c>
      <c r="B474" s="14" t="s">
        <v>196</v>
      </c>
      <c r="C474" s="14" t="s">
        <v>197</v>
      </c>
      <c r="D474" s="14" t="s">
        <v>198</v>
      </c>
      <c r="E474" s="14" t="s">
        <v>488</v>
      </c>
      <c r="F474" s="14" t="s">
        <v>489</v>
      </c>
      <c r="G474" s="14" t="s">
        <v>191</v>
      </c>
      <c r="H474" s="13">
        <v>3.0</v>
      </c>
      <c r="I474" s="14" t="s">
        <v>42</v>
      </c>
      <c r="J474" s="15" t="s">
        <v>1806</v>
      </c>
      <c r="K474" s="14" t="str">
        <f t="shared" si="1"/>
        <v>04</v>
      </c>
      <c r="L474" s="14" t="s">
        <v>1807</v>
      </c>
      <c r="M474" s="14" t="s">
        <v>1836</v>
      </c>
      <c r="N474" s="14" t="s">
        <v>1837</v>
      </c>
      <c r="O474" s="16">
        <v>46289.0</v>
      </c>
      <c r="Q474" s="16">
        <v>46217.0</v>
      </c>
    </row>
    <row r="475">
      <c r="A475" s="13">
        <v>474.0</v>
      </c>
      <c r="B475" s="14" t="s">
        <v>1758</v>
      </c>
      <c r="C475" s="14" t="s">
        <v>1759</v>
      </c>
      <c r="D475" s="14" t="s">
        <v>1760</v>
      </c>
      <c r="E475" s="14" t="s">
        <v>1761</v>
      </c>
      <c r="F475" s="14" t="s">
        <v>154</v>
      </c>
      <c r="G475" s="14" t="s">
        <v>191</v>
      </c>
      <c r="H475" s="13">
        <v>3.0</v>
      </c>
      <c r="I475" s="14" t="s">
        <v>61</v>
      </c>
      <c r="J475" s="15" t="s">
        <v>1806</v>
      </c>
      <c r="K475" s="14" t="str">
        <f t="shared" si="1"/>
        <v>04</v>
      </c>
      <c r="L475" s="14" t="s">
        <v>1807</v>
      </c>
      <c r="M475" s="14" t="s">
        <v>1838</v>
      </c>
      <c r="N475" s="14" t="s">
        <v>1839</v>
      </c>
      <c r="O475" s="14" t="s">
        <v>64</v>
      </c>
      <c r="P475" s="14" t="s">
        <v>1840</v>
      </c>
      <c r="Q475" s="16">
        <v>46217.0</v>
      </c>
    </row>
    <row r="476">
      <c r="A476" s="13">
        <v>475.0</v>
      </c>
      <c r="B476" s="14" t="s">
        <v>786</v>
      </c>
      <c r="C476" s="14" t="s">
        <v>787</v>
      </c>
      <c r="D476" s="14" t="s">
        <v>788</v>
      </c>
      <c r="E476" s="14" t="s">
        <v>789</v>
      </c>
      <c r="F476" s="14" t="s">
        <v>207</v>
      </c>
      <c r="G476" s="14" t="s">
        <v>191</v>
      </c>
      <c r="H476" s="13">
        <v>3.0</v>
      </c>
      <c r="I476" s="14" t="s">
        <v>42</v>
      </c>
      <c r="J476" s="15" t="s">
        <v>1806</v>
      </c>
      <c r="K476" s="14" t="str">
        <f t="shared" si="1"/>
        <v>04</v>
      </c>
      <c r="L476" s="14" t="s">
        <v>1807</v>
      </c>
      <c r="M476" s="14" t="s">
        <v>1841</v>
      </c>
      <c r="N476" s="14" t="s">
        <v>925</v>
      </c>
      <c r="O476" s="16">
        <v>46381.0</v>
      </c>
      <c r="Q476" s="16">
        <v>46217.0</v>
      </c>
    </row>
    <row r="477">
      <c r="A477" s="13">
        <v>476.0</v>
      </c>
      <c r="B477" s="14" t="s">
        <v>1350</v>
      </c>
      <c r="C477" s="14" t="s">
        <v>1351</v>
      </c>
      <c r="D477" s="14" t="s">
        <v>1352</v>
      </c>
      <c r="E477" s="14" t="s">
        <v>1353</v>
      </c>
      <c r="F477" s="14" t="s">
        <v>154</v>
      </c>
      <c r="G477" s="14" t="s">
        <v>191</v>
      </c>
      <c r="H477" s="13">
        <v>3.0</v>
      </c>
      <c r="I477" s="14" t="s">
        <v>61</v>
      </c>
      <c r="J477" s="15" t="s">
        <v>1806</v>
      </c>
      <c r="K477" s="14" t="str">
        <f t="shared" si="1"/>
        <v>04</v>
      </c>
      <c r="L477" s="14" t="s">
        <v>1807</v>
      </c>
      <c r="M477" s="14" t="s">
        <v>1842</v>
      </c>
      <c r="N477" s="14" t="s">
        <v>1843</v>
      </c>
      <c r="O477" s="16">
        <v>46290.0</v>
      </c>
      <c r="P477" s="14" t="s">
        <v>1844</v>
      </c>
      <c r="Q477" s="16">
        <v>46280.0</v>
      </c>
    </row>
    <row r="478">
      <c r="A478" s="13">
        <v>477.0</v>
      </c>
      <c r="B478" s="14" t="s">
        <v>492</v>
      </c>
      <c r="C478" s="14" t="s">
        <v>493</v>
      </c>
      <c r="D478" s="14" t="s">
        <v>494</v>
      </c>
      <c r="E478" s="14" t="s">
        <v>495</v>
      </c>
      <c r="F478" s="14" t="s">
        <v>70</v>
      </c>
      <c r="G478" s="14" t="s">
        <v>191</v>
      </c>
      <c r="H478" s="13">
        <v>3.0</v>
      </c>
      <c r="I478" s="14" t="s">
        <v>61</v>
      </c>
      <c r="J478" s="15" t="s">
        <v>1806</v>
      </c>
      <c r="K478" s="14" t="str">
        <f t="shared" si="1"/>
        <v>04</v>
      </c>
      <c r="L478" s="14" t="s">
        <v>1807</v>
      </c>
      <c r="M478" s="14" t="s">
        <v>1845</v>
      </c>
      <c r="N478" s="14" t="s">
        <v>1846</v>
      </c>
      <c r="O478" s="14" t="s">
        <v>64</v>
      </c>
      <c r="P478" s="14" t="s">
        <v>1847</v>
      </c>
      <c r="Q478" s="16">
        <v>46225.0</v>
      </c>
    </row>
    <row r="479">
      <c r="A479" s="13">
        <v>478.0</v>
      </c>
      <c r="B479" s="14" t="s">
        <v>203</v>
      </c>
      <c r="C479" s="14" t="s">
        <v>204</v>
      </c>
      <c r="D479" s="14" t="s">
        <v>205</v>
      </c>
      <c r="E479" s="14" t="s">
        <v>206</v>
      </c>
      <c r="F479" s="14" t="s">
        <v>207</v>
      </c>
      <c r="G479" s="14" t="s">
        <v>191</v>
      </c>
      <c r="H479" s="13">
        <v>3.0</v>
      </c>
      <c r="I479" s="14" t="s">
        <v>61</v>
      </c>
      <c r="J479" s="15" t="s">
        <v>1806</v>
      </c>
      <c r="K479" s="14" t="str">
        <f t="shared" si="1"/>
        <v>04</v>
      </c>
      <c r="L479" s="14" t="s">
        <v>1807</v>
      </c>
      <c r="M479" s="14" t="s">
        <v>1848</v>
      </c>
      <c r="N479" s="14" t="s">
        <v>1849</v>
      </c>
      <c r="O479" s="14" t="s">
        <v>64</v>
      </c>
      <c r="P479" s="14" t="s">
        <v>1850</v>
      </c>
      <c r="Q479" s="16">
        <v>46283.0</v>
      </c>
    </row>
    <row r="480">
      <c r="A480" s="13">
        <v>479.0</v>
      </c>
      <c r="B480" s="14" t="s">
        <v>1134</v>
      </c>
      <c r="C480" s="14" t="s">
        <v>1135</v>
      </c>
      <c r="D480" s="14" t="s">
        <v>1136</v>
      </c>
      <c r="E480" s="14" t="s">
        <v>1137</v>
      </c>
      <c r="F480" s="14" t="s">
        <v>489</v>
      </c>
      <c r="G480" s="14" t="s">
        <v>261</v>
      </c>
      <c r="H480" s="13">
        <v>3.0</v>
      </c>
      <c r="I480" s="14" t="s">
        <v>42</v>
      </c>
      <c r="J480" s="15" t="s">
        <v>1806</v>
      </c>
      <c r="K480" s="14" t="str">
        <f t="shared" si="1"/>
        <v>04</v>
      </c>
      <c r="L480" s="14" t="s">
        <v>1807</v>
      </c>
      <c r="M480" s="14" t="s">
        <v>1851</v>
      </c>
      <c r="N480" s="14" t="s">
        <v>1852</v>
      </c>
      <c r="O480" s="16">
        <v>46317.0</v>
      </c>
      <c r="P480" s="14" t="s">
        <v>1853</v>
      </c>
      <c r="Q480" s="16">
        <v>46232.0</v>
      </c>
    </row>
    <row r="481">
      <c r="A481" s="13">
        <v>480.0</v>
      </c>
      <c r="B481" s="14" t="s">
        <v>257</v>
      </c>
      <c r="C481" s="14" t="s">
        <v>258</v>
      </c>
      <c r="D481" s="14" t="s">
        <v>259</v>
      </c>
      <c r="E481" s="14" t="s">
        <v>260</v>
      </c>
      <c r="F481" s="14" t="s">
        <v>250</v>
      </c>
      <c r="G481" s="14" t="s">
        <v>261</v>
      </c>
      <c r="H481" s="13">
        <v>3.0</v>
      </c>
      <c r="I481" s="14" t="s">
        <v>42</v>
      </c>
      <c r="J481" s="15" t="s">
        <v>1806</v>
      </c>
      <c r="K481" s="14" t="str">
        <f t="shared" si="1"/>
        <v>04</v>
      </c>
      <c r="L481" s="14" t="s">
        <v>1807</v>
      </c>
      <c r="M481" s="14" t="s">
        <v>1854</v>
      </c>
      <c r="N481" s="14" t="s">
        <v>1855</v>
      </c>
      <c r="O481" s="16">
        <v>46318.0</v>
      </c>
      <c r="Q481" s="16">
        <v>46232.0</v>
      </c>
    </row>
    <row r="482">
      <c r="A482" s="13">
        <v>481.0</v>
      </c>
      <c r="B482" s="14" t="s">
        <v>264</v>
      </c>
      <c r="C482" s="14" t="s">
        <v>265</v>
      </c>
      <c r="D482" s="14" t="s">
        <v>266</v>
      </c>
      <c r="E482" s="14" t="s">
        <v>267</v>
      </c>
      <c r="F482" s="14" t="s">
        <v>60</v>
      </c>
      <c r="G482" s="14" t="s">
        <v>261</v>
      </c>
      <c r="H482" s="13">
        <v>3.0</v>
      </c>
      <c r="I482" s="14" t="s">
        <v>61</v>
      </c>
      <c r="J482" s="15" t="s">
        <v>1806</v>
      </c>
      <c r="K482" s="14" t="str">
        <f t="shared" si="1"/>
        <v>04</v>
      </c>
      <c r="L482" s="14" t="s">
        <v>1807</v>
      </c>
      <c r="M482" s="14" t="s">
        <v>1856</v>
      </c>
      <c r="N482" s="14" t="s">
        <v>1857</v>
      </c>
      <c r="O482" s="16">
        <v>46290.0</v>
      </c>
      <c r="P482" s="14" t="s">
        <v>1858</v>
      </c>
      <c r="Q482" s="16">
        <v>46294.0</v>
      </c>
    </row>
    <row r="483">
      <c r="A483" s="13">
        <v>482.0</v>
      </c>
      <c r="B483" s="14" t="s">
        <v>302</v>
      </c>
      <c r="C483" s="14" t="s">
        <v>303</v>
      </c>
      <c r="D483" s="14" t="s">
        <v>304</v>
      </c>
      <c r="E483" s="14" t="s">
        <v>305</v>
      </c>
      <c r="F483" s="14" t="s">
        <v>162</v>
      </c>
      <c r="G483" s="14" t="s">
        <v>261</v>
      </c>
      <c r="H483" s="13">
        <v>3.0</v>
      </c>
      <c r="I483" s="14" t="s">
        <v>42</v>
      </c>
      <c r="J483" s="15" t="s">
        <v>1806</v>
      </c>
      <c r="K483" s="14" t="str">
        <f t="shared" si="1"/>
        <v>04</v>
      </c>
      <c r="L483" s="14" t="s">
        <v>1807</v>
      </c>
      <c r="M483" s="14" t="s">
        <v>1859</v>
      </c>
      <c r="N483" s="14" t="s">
        <v>982</v>
      </c>
      <c r="O483" s="14" t="s">
        <v>64</v>
      </c>
      <c r="P483" s="14" t="s">
        <v>1860</v>
      </c>
      <c r="Q483" s="16">
        <v>46271.0</v>
      </c>
    </row>
    <row r="484">
      <c r="A484" s="13">
        <v>483.0</v>
      </c>
      <c r="B484" s="14" t="s">
        <v>310</v>
      </c>
      <c r="C484" s="14" t="s">
        <v>311</v>
      </c>
      <c r="D484" s="14" t="s">
        <v>313</v>
      </c>
      <c r="E484" s="14" t="s">
        <v>314</v>
      </c>
      <c r="F484" s="14" t="s">
        <v>162</v>
      </c>
      <c r="G484" s="14" t="s">
        <v>261</v>
      </c>
      <c r="H484" s="13">
        <v>3.0</v>
      </c>
      <c r="I484" s="14" t="s">
        <v>61</v>
      </c>
      <c r="J484" s="15" t="s">
        <v>1806</v>
      </c>
      <c r="K484" s="14" t="str">
        <f t="shared" si="1"/>
        <v>04</v>
      </c>
      <c r="L484" s="14" t="s">
        <v>1807</v>
      </c>
      <c r="M484" s="14" t="s">
        <v>1859</v>
      </c>
      <c r="N484" s="14" t="s">
        <v>985</v>
      </c>
      <c r="O484" s="14" t="s">
        <v>64</v>
      </c>
      <c r="P484" s="14" t="s">
        <v>1861</v>
      </c>
      <c r="Q484" s="16">
        <v>46252.0</v>
      </c>
    </row>
    <row r="485">
      <c r="A485" s="13">
        <v>484.0</v>
      </c>
      <c r="B485" s="14" t="s">
        <v>470</v>
      </c>
      <c r="C485" s="14" t="s">
        <v>471</v>
      </c>
      <c r="D485" s="14" t="s">
        <v>472</v>
      </c>
      <c r="E485" s="14" t="s">
        <v>473</v>
      </c>
      <c r="F485" s="14" t="s">
        <v>60</v>
      </c>
      <c r="G485" s="14" t="s">
        <v>261</v>
      </c>
      <c r="H485" s="13">
        <v>3.0</v>
      </c>
      <c r="I485" s="14" t="s">
        <v>42</v>
      </c>
      <c r="J485" s="15" t="s">
        <v>1806</v>
      </c>
      <c r="K485" s="14" t="str">
        <f t="shared" si="1"/>
        <v>04</v>
      </c>
      <c r="L485" s="14" t="s">
        <v>1807</v>
      </c>
      <c r="M485" s="14" t="s">
        <v>1862</v>
      </c>
      <c r="N485" s="14" t="s">
        <v>988</v>
      </c>
      <c r="O485" s="16">
        <v>46275.0</v>
      </c>
      <c r="P485" s="14" t="s">
        <v>1863</v>
      </c>
      <c r="Q485" s="16">
        <v>46241.0</v>
      </c>
    </row>
    <row r="486">
      <c r="A486" s="13">
        <v>485.0</v>
      </c>
      <c r="B486" s="14" t="s">
        <v>1375</v>
      </c>
      <c r="C486" s="14" t="s">
        <v>1376</v>
      </c>
      <c r="D486" s="14" t="s">
        <v>1377</v>
      </c>
      <c r="E486" s="14" t="s">
        <v>1378</v>
      </c>
      <c r="F486" s="14" t="s">
        <v>207</v>
      </c>
      <c r="G486" s="14" t="s">
        <v>297</v>
      </c>
      <c r="H486" s="13">
        <v>3.0</v>
      </c>
      <c r="I486" s="14" t="s">
        <v>61</v>
      </c>
      <c r="J486" s="15" t="s">
        <v>1806</v>
      </c>
      <c r="K486" s="14" t="str">
        <f t="shared" si="1"/>
        <v>04</v>
      </c>
      <c r="L486" s="14" t="s">
        <v>1807</v>
      </c>
      <c r="M486" s="14" t="s">
        <v>1864</v>
      </c>
      <c r="N486" s="14" t="s">
        <v>1865</v>
      </c>
      <c r="O486" s="14" t="s">
        <v>64</v>
      </c>
      <c r="P486" s="14" t="s">
        <v>1866</v>
      </c>
      <c r="Q486" s="16">
        <v>46279.0</v>
      </c>
    </row>
    <row r="487">
      <c r="A487" s="13">
        <v>486.0</v>
      </c>
      <c r="B487" s="14" t="s">
        <v>1389</v>
      </c>
      <c r="C487" s="14" t="s">
        <v>1390</v>
      </c>
      <c r="D487" s="14" t="s">
        <v>1391</v>
      </c>
      <c r="E487" s="14" t="s">
        <v>1392</v>
      </c>
      <c r="F487" s="14" t="s">
        <v>70</v>
      </c>
      <c r="G487" s="14" t="s">
        <v>297</v>
      </c>
      <c r="H487" s="13">
        <v>3.0</v>
      </c>
      <c r="I487" s="14" t="s">
        <v>42</v>
      </c>
      <c r="J487" s="15" t="s">
        <v>1806</v>
      </c>
      <c r="K487" s="14" t="str">
        <f t="shared" si="1"/>
        <v>04</v>
      </c>
      <c r="L487" s="14" t="s">
        <v>1807</v>
      </c>
      <c r="M487" s="14" t="s">
        <v>1867</v>
      </c>
      <c r="N487" s="14" t="s">
        <v>1868</v>
      </c>
      <c r="O487" s="16">
        <v>46301.0</v>
      </c>
      <c r="Q487" s="16">
        <v>46238.0</v>
      </c>
    </row>
    <row r="488">
      <c r="A488" s="13">
        <v>487.0</v>
      </c>
      <c r="B488" s="14" t="s">
        <v>533</v>
      </c>
      <c r="C488" s="14" t="s">
        <v>534</v>
      </c>
      <c r="D488" s="14" t="s">
        <v>535</v>
      </c>
      <c r="E488" s="14" t="s">
        <v>536</v>
      </c>
      <c r="F488" s="14" t="s">
        <v>250</v>
      </c>
      <c r="G488" s="14" t="s">
        <v>297</v>
      </c>
      <c r="H488" s="13">
        <v>3.0</v>
      </c>
      <c r="I488" s="14" t="s">
        <v>42</v>
      </c>
      <c r="J488" s="15" t="s">
        <v>1806</v>
      </c>
      <c r="K488" s="14" t="str">
        <f t="shared" si="1"/>
        <v>04</v>
      </c>
      <c r="L488" s="14" t="s">
        <v>1807</v>
      </c>
      <c r="M488" s="14" t="s">
        <v>1869</v>
      </c>
      <c r="N488" s="14" t="s">
        <v>1870</v>
      </c>
      <c r="O488" s="16">
        <v>46301.0</v>
      </c>
      <c r="Q488" s="16">
        <v>46238.0</v>
      </c>
    </row>
    <row r="489">
      <c r="A489" s="13">
        <v>488.0</v>
      </c>
      <c r="B489" s="14" t="s">
        <v>478</v>
      </c>
      <c r="C489" s="14" t="s">
        <v>479</v>
      </c>
      <c r="D489" s="14" t="s">
        <v>480</v>
      </c>
      <c r="E489" s="14" t="s">
        <v>481</v>
      </c>
      <c r="F489" s="14" t="s">
        <v>70</v>
      </c>
      <c r="G489" s="14" t="s">
        <v>297</v>
      </c>
      <c r="H489" s="13">
        <v>3.0</v>
      </c>
      <c r="I489" s="14" t="s">
        <v>42</v>
      </c>
      <c r="J489" s="15" t="s">
        <v>1871</v>
      </c>
      <c r="K489" s="14" t="str">
        <f t="shared" si="1"/>
        <v>04</v>
      </c>
      <c r="L489" s="14" t="s">
        <v>1872</v>
      </c>
      <c r="M489" s="14" t="s">
        <v>1873</v>
      </c>
      <c r="N489" s="14" t="s">
        <v>1874</v>
      </c>
      <c r="O489" s="16">
        <v>46301.0</v>
      </c>
      <c r="Q489" s="16">
        <v>46238.0</v>
      </c>
    </row>
    <row r="490">
      <c r="A490" s="13">
        <v>489.0</v>
      </c>
      <c r="B490" s="14" t="s">
        <v>48</v>
      </c>
      <c r="C490" s="14" t="s">
        <v>49</v>
      </c>
      <c r="D490" s="14" t="s">
        <v>50</v>
      </c>
      <c r="E490" s="14" t="s">
        <v>829</v>
      </c>
      <c r="F490" s="14" t="s">
        <v>489</v>
      </c>
      <c r="G490" s="14" t="s">
        <v>41</v>
      </c>
      <c r="H490" s="13">
        <v>3.0</v>
      </c>
      <c r="I490" s="14" t="s">
        <v>61</v>
      </c>
      <c r="J490" s="15" t="s">
        <v>1875</v>
      </c>
      <c r="K490" s="14" t="str">
        <f t="shared" si="1"/>
        <v>05</v>
      </c>
      <c r="L490" s="14" t="s">
        <v>1876</v>
      </c>
      <c r="M490" s="14" t="s">
        <v>1877</v>
      </c>
      <c r="N490" s="14" t="s">
        <v>1060</v>
      </c>
      <c r="O490" s="16">
        <v>46257.0</v>
      </c>
      <c r="P490" s="14" t="s">
        <v>1878</v>
      </c>
      <c r="Q490" s="16">
        <v>46226.0</v>
      </c>
    </row>
    <row r="491">
      <c r="A491" s="13">
        <v>490.0</v>
      </c>
      <c r="B491" s="14" t="s">
        <v>1067</v>
      </c>
      <c r="C491" s="14" t="s">
        <v>1068</v>
      </c>
      <c r="D491" s="14" t="s">
        <v>1069</v>
      </c>
      <c r="E491" s="14" t="s">
        <v>1070</v>
      </c>
      <c r="F491" s="14" t="s">
        <v>40</v>
      </c>
      <c r="G491" s="14" t="s">
        <v>41</v>
      </c>
      <c r="H491" s="13">
        <v>3.0</v>
      </c>
      <c r="I491" s="14" t="s">
        <v>61</v>
      </c>
      <c r="J491" s="15" t="s">
        <v>1875</v>
      </c>
      <c r="K491" s="14" t="str">
        <f t="shared" si="1"/>
        <v>05</v>
      </c>
      <c r="L491" s="14" t="s">
        <v>1876</v>
      </c>
      <c r="M491" s="14" t="s">
        <v>1879</v>
      </c>
      <c r="N491" s="14" t="s">
        <v>1072</v>
      </c>
      <c r="O491" s="14" t="s">
        <v>64</v>
      </c>
      <c r="P491" s="14" t="s">
        <v>1880</v>
      </c>
      <c r="Q491" s="16">
        <v>46209.0</v>
      </c>
    </row>
    <row r="492">
      <c r="A492" s="13">
        <v>491.0</v>
      </c>
      <c r="B492" s="14" t="s">
        <v>79</v>
      </c>
      <c r="C492" s="14" t="s">
        <v>80</v>
      </c>
      <c r="D492" s="14" t="s">
        <v>81</v>
      </c>
      <c r="E492" s="14" t="s">
        <v>82</v>
      </c>
      <c r="F492" s="14" t="s">
        <v>40</v>
      </c>
      <c r="G492" s="14" t="s">
        <v>41</v>
      </c>
      <c r="H492" s="13">
        <v>3.0</v>
      </c>
      <c r="I492" s="14" t="s">
        <v>42</v>
      </c>
      <c r="J492" s="15" t="s">
        <v>1875</v>
      </c>
      <c r="K492" s="14" t="str">
        <f t="shared" si="1"/>
        <v>05</v>
      </c>
      <c r="L492" s="14" t="s">
        <v>1876</v>
      </c>
      <c r="M492" s="14" t="s">
        <v>1881</v>
      </c>
      <c r="N492" s="14" t="s">
        <v>1014</v>
      </c>
      <c r="O492" s="16">
        <v>46265.0</v>
      </c>
      <c r="P492" s="14" t="s">
        <v>1882</v>
      </c>
      <c r="Q492" s="16">
        <v>46167.0</v>
      </c>
    </row>
    <row r="493">
      <c r="A493" s="13">
        <v>492.0</v>
      </c>
      <c r="B493" s="14" t="s">
        <v>601</v>
      </c>
      <c r="C493" s="14" t="s">
        <v>602</v>
      </c>
      <c r="D493" s="14" t="s">
        <v>603</v>
      </c>
      <c r="E493" s="14" t="s">
        <v>604</v>
      </c>
      <c r="F493" s="14" t="s">
        <v>40</v>
      </c>
      <c r="G493" s="14" t="s">
        <v>109</v>
      </c>
      <c r="H493" s="13">
        <v>3.0</v>
      </c>
      <c r="I493" s="14" t="s">
        <v>61</v>
      </c>
      <c r="J493" s="15" t="s">
        <v>1875</v>
      </c>
      <c r="K493" s="14" t="str">
        <f t="shared" si="1"/>
        <v>05</v>
      </c>
      <c r="L493" s="14" t="s">
        <v>1876</v>
      </c>
      <c r="M493" s="14" t="s">
        <v>1883</v>
      </c>
      <c r="N493" s="14" t="s">
        <v>1884</v>
      </c>
      <c r="O493" s="14" t="s">
        <v>64</v>
      </c>
      <c r="P493" s="14" t="s">
        <v>1885</v>
      </c>
      <c r="Q493" s="16">
        <v>46161.0</v>
      </c>
    </row>
    <row r="494">
      <c r="A494" s="13">
        <v>493.0</v>
      </c>
      <c r="B494" s="14" t="s">
        <v>608</v>
      </c>
      <c r="C494" s="14" t="s">
        <v>609</v>
      </c>
      <c r="D494" s="14" t="s">
        <v>610</v>
      </c>
      <c r="E494" s="14" t="s">
        <v>611</v>
      </c>
      <c r="F494" s="14" t="s">
        <v>40</v>
      </c>
      <c r="G494" s="14" t="s">
        <v>109</v>
      </c>
      <c r="H494" s="13">
        <v>3.0</v>
      </c>
      <c r="I494" s="14" t="s">
        <v>61</v>
      </c>
      <c r="J494" s="15" t="s">
        <v>1875</v>
      </c>
      <c r="K494" s="14" t="str">
        <f t="shared" si="1"/>
        <v>05</v>
      </c>
      <c r="L494" s="14" t="s">
        <v>1876</v>
      </c>
      <c r="M494" s="14" t="s">
        <v>1886</v>
      </c>
      <c r="N494" s="14" t="s">
        <v>1887</v>
      </c>
      <c r="O494" s="14" t="s">
        <v>64</v>
      </c>
      <c r="P494" s="14" t="s">
        <v>1888</v>
      </c>
      <c r="Q494" s="16">
        <v>46210.0</v>
      </c>
    </row>
    <row r="495">
      <c r="A495" s="13">
        <v>494.0</v>
      </c>
      <c r="B495" s="14" t="s">
        <v>1728</v>
      </c>
      <c r="C495" s="14" t="s">
        <v>1729</v>
      </c>
      <c r="D495" s="14" t="s">
        <v>1730</v>
      </c>
      <c r="E495" s="14" t="s">
        <v>1731</v>
      </c>
      <c r="F495" s="14" t="s">
        <v>178</v>
      </c>
      <c r="G495" s="14" t="s">
        <v>109</v>
      </c>
      <c r="H495" s="13">
        <v>3.0</v>
      </c>
      <c r="I495" s="14" t="s">
        <v>61</v>
      </c>
      <c r="J495" s="15" t="s">
        <v>1875</v>
      </c>
      <c r="K495" s="14" t="str">
        <f t="shared" si="1"/>
        <v>05</v>
      </c>
      <c r="L495" s="14" t="s">
        <v>1876</v>
      </c>
      <c r="M495" s="14" t="s">
        <v>1889</v>
      </c>
      <c r="N495" s="14" t="s">
        <v>1890</v>
      </c>
      <c r="O495" s="14" t="s">
        <v>64</v>
      </c>
      <c r="P495" s="14" t="s">
        <v>1891</v>
      </c>
      <c r="Q495" s="16">
        <v>46191.0</v>
      </c>
    </row>
    <row r="496">
      <c r="A496" s="13">
        <v>495.0</v>
      </c>
      <c r="B496" s="14" t="s">
        <v>615</v>
      </c>
      <c r="C496" s="14" t="s">
        <v>616</v>
      </c>
      <c r="D496" s="14" t="s">
        <v>617</v>
      </c>
      <c r="E496" s="14" t="s">
        <v>618</v>
      </c>
      <c r="F496" s="14" t="s">
        <v>40</v>
      </c>
      <c r="G496" s="14" t="s">
        <v>109</v>
      </c>
      <c r="H496" s="13">
        <v>3.0</v>
      </c>
      <c r="I496" s="14" t="s">
        <v>61</v>
      </c>
      <c r="J496" s="15" t="s">
        <v>1875</v>
      </c>
      <c r="K496" s="14" t="str">
        <f t="shared" si="1"/>
        <v>05</v>
      </c>
      <c r="L496" s="14" t="s">
        <v>1876</v>
      </c>
      <c r="M496" s="14" t="s">
        <v>1892</v>
      </c>
      <c r="N496" s="14" t="s">
        <v>1893</v>
      </c>
      <c r="O496" s="16">
        <v>46234.0</v>
      </c>
      <c r="P496" s="14" t="s">
        <v>1894</v>
      </c>
      <c r="Q496" s="16">
        <v>46161.0</v>
      </c>
    </row>
    <row r="497">
      <c r="A497" s="13">
        <v>496.0</v>
      </c>
      <c r="B497" s="14" t="s">
        <v>1895</v>
      </c>
      <c r="C497" s="14" t="s">
        <v>1896</v>
      </c>
      <c r="D497" s="14" t="s">
        <v>1897</v>
      </c>
      <c r="E497" s="14" t="s">
        <v>1898</v>
      </c>
      <c r="F497" s="14" t="s">
        <v>162</v>
      </c>
      <c r="G497" s="14" t="s">
        <v>146</v>
      </c>
      <c r="H497" s="13">
        <v>3.0</v>
      </c>
      <c r="I497" s="14" t="s">
        <v>61</v>
      </c>
      <c r="J497" s="15" t="s">
        <v>1875</v>
      </c>
      <c r="K497" s="14" t="str">
        <f t="shared" si="1"/>
        <v>05</v>
      </c>
      <c r="L497" s="14" t="s">
        <v>1876</v>
      </c>
      <c r="M497" s="14" t="s">
        <v>1899</v>
      </c>
      <c r="N497" s="14" t="s">
        <v>1900</v>
      </c>
      <c r="O497" s="14" t="s">
        <v>64</v>
      </c>
      <c r="P497" s="14" t="s">
        <v>1901</v>
      </c>
      <c r="Q497" s="16">
        <v>46206.0</v>
      </c>
    </row>
    <row r="498">
      <c r="A498" s="13">
        <v>497.0</v>
      </c>
      <c r="B498" s="14" t="s">
        <v>723</v>
      </c>
      <c r="C498" s="14" t="s">
        <v>724</v>
      </c>
      <c r="D498" s="14" t="s">
        <v>725</v>
      </c>
      <c r="E498" s="14" t="s">
        <v>726</v>
      </c>
      <c r="F498" s="14" t="s">
        <v>162</v>
      </c>
      <c r="G498" s="14" t="s">
        <v>146</v>
      </c>
      <c r="H498" s="13">
        <v>3.0</v>
      </c>
      <c r="I498" s="14" t="s">
        <v>42</v>
      </c>
      <c r="J498" s="15" t="s">
        <v>1875</v>
      </c>
      <c r="K498" s="14" t="str">
        <f t="shared" si="1"/>
        <v>05</v>
      </c>
      <c r="L498" s="14" t="s">
        <v>1876</v>
      </c>
      <c r="M498" s="14" t="s">
        <v>1902</v>
      </c>
      <c r="N498" s="14" t="s">
        <v>1903</v>
      </c>
      <c r="O498" s="16">
        <v>46310.0</v>
      </c>
      <c r="Q498" s="16">
        <v>46198.0</v>
      </c>
    </row>
    <row r="499">
      <c r="A499" s="13">
        <v>498.0</v>
      </c>
      <c r="B499" s="14" t="s">
        <v>1203</v>
      </c>
      <c r="C499" s="14" t="s">
        <v>1204</v>
      </c>
      <c r="D499" s="14" t="s">
        <v>1205</v>
      </c>
      <c r="E499" s="14" t="s">
        <v>1206</v>
      </c>
      <c r="F499" s="14" t="s">
        <v>40</v>
      </c>
      <c r="G499" s="14" t="s">
        <v>191</v>
      </c>
      <c r="H499" s="13">
        <v>3.0</v>
      </c>
      <c r="I499" s="14" t="s">
        <v>61</v>
      </c>
      <c r="J499" s="15" t="s">
        <v>1875</v>
      </c>
      <c r="K499" s="14" t="str">
        <f t="shared" si="1"/>
        <v>05</v>
      </c>
      <c r="L499" s="14" t="s">
        <v>1876</v>
      </c>
      <c r="M499" s="14" t="s">
        <v>1904</v>
      </c>
      <c r="N499" s="14" t="s">
        <v>1905</v>
      </c>
      <c r="O499" s="14" t="s">
        <v>64</v>
      </c>
      <c r="P499" s="14" t="s">
        <v>1906</v>
      </c>
      <c r="Q499" s="16">
        <v>46221.0</v>
      </c>
    </row>
    <row r="500">
      <c r="A500" s="13">
        <v>499.0</v>
      </c>
      <c r="B500" s="14" t="s">
        <v>187</v>
      </c>
      <c r="C500" s="14" t="s">
        <v>188</v>
      </c>
      <c r="D500" s="14" t="s">
        <v>189</v>
      </c>
      <c r="E500" s="14" t="s">
        <v>190</v>
      </c>
      <c r="F500" s="14" t="s">
        <v>40</v>
      </c>
      <c r="G500" s="14" t="s">
        <v>191</v>
      </c>
      <c r="H500" s="13">
        <v>3.0</v>
      </c>
      <c r="I500" s="14" t="s">
        <v>61</v>
      </c>
      <c r="J500" s="15" t="s">
        <v>1875</v>
      </c>
      <c r="K500" s="14" t="str">
        <f t="shared" si="1"/>
        <v>05</v>
      </c>
      <c r="L500" s="14" t="s">
        <v>1876</v>
      </c>
      <c r="M500" s="14" t="s">
        <v>1907</v>
      </c>
      <c r="N500" s="14" t="s">
        <v>1908</v>
      </c>
      <c r="O500" s="14" t="s">
        <v>64</v>
      </c>
      <c r="P500" s="14" t="s">
        <v>1909</v>
      </c>
      <c r="Q500" s="16">
        <v>46248.0</v>
      </c>
    </row>
    <row r="501">
      <c r="A501" s="13">
        <v>500.0</v>
      </c>
      <c r="B501" s="14" t="s">
        <v>196</v>
      </c>
      <c r="C501" s="14" t="s">
        <v>197</v>
      </c>
      <c r="D501" s="14" t="s">
        <v>198</v>
      </c>
      <c r="E501" s="14" t="s">
        <v>1006</v>
      </c>
      <c r="F501" s="14" t="s">
        <v>543</v>
      </c>
      <c r="G501" s="14" t="s">
        <v>191</v>
      </c>
      <c r="H501" s="13">
        <v>3.0</v>
      </c>
      <c r="I501" s="14" t="s">
        <v>42</v>
      </c>
      <c r="J501" s="15" t="s">
        <v>1875</v>
      </c>
      <c r="K501" s="14" t="str">
        <f t="shared" si="1"/>
        <v>05</v>
      </c>
      <c r="L501" s="14" t="s">
        <v>1876</v>
      </c>
      <c r="M501" s="14" t="s">
        <v>1910</v>
      </c>
      <c r="N501" s="14" t="s">
        <v>1008</v>
      </c>
      <c r="O501" s="16">
        <v>46294.0</v>
      </c>
      <c r="Q501" s="16">
        <v>46217.0</v>
      </c>
    </row>
    <row r="502">
      <c r="A502" s="13">
        <v>501.0</v>
      </c>
      <c r="B502" s="14" t="s">
        <v>302</v>
      </c>
      <c r="C502" s="14" t="s">
        <v>303</v>
      </c>
      <c r="D502" s="14" t="s">
        <v>304</v>
      </c>
      <c r="E502" s="14" t="s">
        <v>305</v>
      </c>
      <c r="F502" s="14" t="s">
        <v>162</v>
      </c>
      <c r="G502" s="14" t="s">
        <v>261</v>
      </c>
      <c r="H502" s="13">
        <v>3.0</v>
      </c>
      <c r="I502" s="14" t="s">
        <v>42</v>
      </c>
      <c r="J502" s="15" t="s">
        <v>1875</v>
      </c>
      <c r="K502" s="14" t="str">
        <f t="shared" si="1"/>
        <v>05</v>
      </c>
      <c r="L502" s="14" t="s">
        <v>1876</v>
      </c>
      <c r="M502" s="14" t="s">
        <v>1911</v>
      </c>
      <c r="N502" s="14" t="s">
        <v>1054</v>
      </c>
      <c r="O502" s="14" t="s">
        <v>64</v>
      </c>
      <c r="P502" s="14" t="s">
        <v>1912</v>
      </c>
      <c r="Q502" s="16">
        <v>46271.0</v>
      </c>
    </row>
    <row r="503">
      <c r="A503" s="13">
        <v>502.0</v>
      </c>
      <c r="B503" s="14" t="s">
        <v>310</v>
      </c>
      <c r="C503" s="14" t="s">
        <v>311</v>
      </c>
      <c r="D503" s="14" t="s">
        <v>313</v>
      </c>
      <c r="E503" s="14" t="s">
        <v>314</v>
      </c>
      <c r="F503" s="14" t="s">
        <v>162</v>
      </c>
      <c r="G503" s="14" t="s">
        <v>261</v>
      </c>
      <c r="H503" s="13">
        <v>3.0</v>
      </c>
      <c r="I503" s="14" t="s">
        <v>61</v>
      </c>
      <c r="J503" s="15" t="s">
        <v>1875</v>
      </c>
      <c r="K503" s="14" t="str">
        <f t="shared" si="1"/>
        <v>05</v>
      </c>
      <c r="L503" s="14" t="s">
        <v>1876</v>
      </c>
      <c r="M503" s="14" t="s">
        <v>1913</v>
      </c>
      <c r="N503" s="14" t="s">
        <v>1144</v>
      </c>
      <c r="O503" s="14" t="s">
        <v>64</v>
      </c>
      <c r="P503" s="14" t="s">
        <v>1914</v>
      </c>
      <c r="Q503" s="16">
        <v>46252.0</v>
      </c>
    </row>
    <row r="504">
      <c r="A504" s="13">
        <v>503.0</v>
      </c>
      <c r="B504" s="14" t="s">
        <v>1203</v>
      </c>
      <c r="C504" s="14" t="s">
        <v>1204</v>
      </c>
      <c r="D504" s="14" t="s">
        <v>1205</v>
      </c>
      <c r="E504" s="14" t="s">
        <v>1206</v>
      </c>
      <c r="F504" s="14" t="s">
        <v>40</v>
      </c>
      <c r="G504" s="14" t="s">
        <v>191</v>
      </c>
      <c r="H504" s="13">
        <v>3.0</v>
      </c>
      <c r="I504" s="14" t="s">
        <v>61</v>
      </c>
      <c r="J504" s="15" t="s">
        <v>1915</v>
      </c>
      <c r="K504" s="14" t="str">
        <f t="shared" si="1"/>
        <v>07</v>
      </c>
      <c r="L504" s="14" t="s">
        <v>1916</v>
      </c>
      <c r="M504" s="14" t="s">
        <v>1917</v>
      </c>
      <c r="N504" s="14" t="s">
        <v>1918</v>
      </c>
      <c r="O504" s="14" t="s">
        <v>64</v>
      </c>
      <c r="P504" s="14" t="s">
        <v>1919</v>
      </c>
      <c r="Q504" s="16">
        <v>46221.0</v>
      </c>
    </row>
    <row r="505">
      <c r="A505" s="13">
        <v>504.0</v>
      </c>
      <c r="B505" s="14" t="s">
        <v>196</v>
      </c>
      <c r="C505" s="14" t="s">
        <v>197</v>
      </c>
      <c r="D505" s="14" t="s">
        <v>198</v>
      </c>
      <c r="E505" s="14" t="s">
        <v>734</v>
      </c>
      <c r="F505" s="14" t="s">
        <v>527</v>
      </c>
      <c r="G505" s="14" t="s">
        <v>191</v>
      </c>
      <c r="H505" s="13">
        <v>3.0</v>
      </c>
      <c r="I505" s="14" t="s">
        <v>42</v>
      </c>
      <c r="J505" s="15" t="s">
        <v>1915</v>
      </c>
      <c r="K505" s="14" t="str">
        <f t="shared" si="1"/>
        <v>07</v>
      </c>
      <c r="L505" s="14" t="s">
        <v>1916</v>
      </c>
      <c r="M505" s="14" t="s">
        <v>1920</v>
      </c>
      <c r="N505" s="14" t="s">
        <v>1921</v>
      </c>
      <c r="O505" s="16">
        <v>46289.0</v>
      </c>
      <c r="Q505" s="16">
        <v>46217.0</v>
      </c>
    </row>
    <row r="506">
      <c r="A506" s="13">
        <v>505.0</v>
      </c>
      <c r="B506" s="14" t="s">
        <v>36</v>
      </c>
      <c r="C506" s="14" t="s">
        <v>37</v>
      </c>
      <c r="D506" s="14" t="s">
        <v>38</v>
      </c>
      <c r="E506" s="14" t="s">
        <v>39</v>
      </c>
      <c r="F506" s="14" t="s">
        <v>40</v>
      </c>
      <c r="G506" s="14" t="s">
        <v>41</v>
      </c>
      <c r="H506" s="13">
        <v>3.0</v>
      </c>
      <c r="I506" s="14" t="s">
        <v>42</v>
      </c>
      <c r="J506" s="15" t="s">
        <v>1922</v>
      </c>
      <c r="K506" s="14" t="str">
        <f t="shared" si="1"/>
        <v>07</v>
      </c>
      <c r="L506" s="14" t="s">
        <v>1923</v>
      </c>
      <c r="M506" s="14" t="s">
        <v>1924</v>
      </c>
      <c r="N506" s="14" t="s">
        <v>1925</v>
      </c>
      <c r="O506" s="16">
        <v>46241.0</v>
      </c>
      <c r="Q506" s="16">
        <v>46147.0</v>
      </c>
    </row>
    <row r="507">
      <c r="A507" s="13">
        <v>506.0</v>
      </c>
      <c r="B507" s="14" t="s">
        <v>586</v>
      </c>
      <c r="C507" s="14" t="s">
        <v>587</v>
      </c>
      <c r="D507" s="14" t="s">
        <v>588</v>
      </c>
      <c r="E507" s="14" t="s">
        <v>589</v>
      </c>
      <c r="F507" s="14" t="s">
        <v>40</v>
      </c>
      <c r="G507" s="14" t="s">
        <v>41</v>
      </c>
      <c r="H507" s="13">
        <v>3.0</v>
      </c>
      <c r="I507" s="14" t="s">
        <v>42</v>
      </c>
      <c r="J507" s="15" t="s">
        <v>1922</v>
      </c>
      <c r="K507" s="14" t="str">
        <f t="shared" si="1"/>
        <v>07</v>
      </c>
      <c r="L507" s="14" t="s">
        <v>1923</v>
      </c>
      <c r="M507" s="14" t="s">
        <v>1926</v>
      </c>
      <c r="N507" s="14" t="s">
        <v>1927</v>
      </c>
      <c r="O507" s="16">
        <v>46265.0</v>
      </c>
      <c r="Q507" s="16">
        <v>46147.0</v>
      </c>
    </row>
    <row r="508">
      <c r="A508" s="13">
        <v>507.0</v>
      </c>
      <c r="B508" s="14" t="s">
        <v>48</v>
      </c>
      <c r="C508" s="14" t="s">
        <v>49</v>
      </c>
      <c r="D508" s="14" t="s">
        <v>50</v>
      </c>
      <c r="E508" s="14" t="s">
        <v>677</v>
      </c>
      <c r="F508" s="14" t="s">
        <v>527</v>
      </c>
      <c r="G508" s="14" t="s">
        <v>41</v>
      </c>
      <c r="H508" s="13">
        <v>3.0</v>
      </c>
      <c r="I508" s="14" t="s">
        <v>42</v>
      </c>
      <c r="J508" s="15" t="s">
        <v>1922</v>
      </c>
      <c r="K508" s="14" t="str">
        <f t="shared" si="1"/>
        <v>07</v>
      </c>
      <c r="L508" s="14" t="s">
        <v>1923</v>
      </c>
      <c r="M508" s="14" t="s">
        <v>1928</v>
      </c>
      <c r="N508" s="14" t="s">
        <v>1929</v>
      </c>
      <c r="O508" s="16">
        <v>46265.0</v>
      </c>
      <c r="Q508" s="16">
        <v>46147.0</v>
      </c>
    </row>
    <row r="509">
      <c r="A509" s="13">
        <v>508.0</v>
      </c>
      <c r="B509" s="14" t="s">
        <v>48</v>
      </c>
      <c r="C509" s="14" t="s">
        <v>49</v>
      </c>
      <c r="D509" s="14" t="s">
        <v>50</v>
      </c>
      <c r="E509" s="14" t="s">
        <v>829</v>
      </c>
      <c r="F509" s="14" t="s">
        <v>489</v>
      </c>
      <c r="G509" s="14" t="s">
        <v>41</v>
      </c>
      <c r="H509" s="13">
        <v>3.0</v>
      </c>
      <c r="I509" s="14" t="s">
        <v>42</v>
      </c>
      <c r="J509" s="15" t="s">
        <v>1922</v>
      </c>
      <c r="K509" s="14" t="str">
        <f t="shared" si="1"/>
        <v>07</v>
      </c>
      <c r="L509" s="14" t="s">
        <v>1923</v>
      </c>
      <c r="M509" s="14" t="s">
        <v>1930</v>
      </c>
      <c r="N509" s="14" t="s">
        <v>1931</v>
      </c>
      <c r="O509" s="16">
        <v>46257.0</v>
      </c>
      <c r="P509" s="14" t="s">
        <v>1932</v>
      </c>
      <c r="Q509" s="16">
        <v>46226.0</v>
      </c>
    </row>
    <row r="510">
      <c r="A510" s="13">
        <v>509.0</v>
      </c>
      <c r="B510" s="14" t="s">
        <v>836</v>
      </c>
      <c r="C510" s="14" t="s">
        <v>837</v>
      </c>
      <c r="D510" s="14" t="s">
        <v>838</v>
      </c>
      <c r="E510" s="14" t="s">
        <v>839</v>
      </c>
      <c r="F510" s="14" t="s">
        <v>40</v>
      </c>
      <c r="G510" s="14" t="s">
        <v>41</v>
      </c>
      <c r="H510" s="13">
        <v>3.0</v>
      </c>
      <c r="I510" s="14" t="s">
        <v>42</v>
      </c>
      <c r="J510" s="15" t="s">
        <v>1922</v>
      </c>
      <c r="K510" s="14" t="str">
        <f t="shared" si="1"/>
        <v>07</v>
      </c>
      <c r="L510" s="14" t="s">
        <v>1923</v>
      </c>
      <c r="M510" s="14" t="s">
        <v>1933</v>
      </c>
      <c r="N510" s="14" t="s">
        <v>1934</v>
      </c>
      <c r="O510" s="16">
        <v>46265.0</v>
      </c>
      <c r="Q510" s="16">
        <v>46147.0</v>
      </c>
    </row>
    <row r="511">
      <c r="A511" s="13">
        <v>510.0</v>
      </c>
      <c r="B511" s="14" t="s">
        <v>594</v>
      </c>
      <c r="C511" s="14" t="s">
        <v>595</v>
      </c>
      <c r="D511" s="14" t="s">
        <v>596</v>
      </c>
      <c r="E511" s="14" t="s">
        <v>597</v>
      </c>
      <c r="F511" s="14" t="s">
        <v>40</v>
      </c>
      <c r="G511" s="14" t="s">
        <v>41</v>
      </c>
      <c r="H511" s="13">
        <v>3.0</v>
      </c>
      <c r="I511" s="14" t="s">
        <v>61</v>
      </c>
      <c r="J511" s="15" t="s">
        <v>1922</v>
      </c>
      <c r="K511" s="14" t="str">
        <f t="shared" si="1"/>
        <v>07</v>
      </c>
      <c r="L511" s="14" t="s">
        <v>1923</v>
      </c>
      <c r="M511" s="14" t="s">
        <v>1935</v>
      </c>
      <c r="N511" s="14" t="s">
        <v>1936</v>
      </c>
      <c r="O511" s="16">
        <v>46269.0</v>
      </c>
      <c r="P511" s="14" t="s">
        <v>1937</v>
      </c>
      <c r="Q511" s="16">
        <v>46185.0</v>
      </c>
    </row>
    <row r="512">
      <c r="A512" s="13">
        <v>511.0</v>
      </c>
      <c r="B512" s="14" t="s">
        <v>1067</v>
      </c>
      <c r="C512" s="14" t="s">
        <v>1068</v>
      </c>
      <c r="D512" s="14" t="s">
        <v>1069</v>
      </c>
      <c r="E512" s="14" t="s">
        <v>1070</v>
      </c>
      <c r="F512" s="14" t="s">
        <v>40</v>
      </c>
      <c r="G512" s="14" t="s">
        <v>41</v>
      </c>
      <c r="H512" s="13">
        <v>3.0</v>
      </c>
      <c r="I512" s="14" t="s">
        <v>42</v>
      </c>
      <c r="J512" s="15" t="s">
        <v>1922</v>
      </c>
      <c r="K512" s="14" t="str">
        <f t="shared" si="1"/>
        <v>07</v>
      </c>
      <c r="L512" s="14" t="s">
        <v>1923</v>
      </c>
      <c r="M512" s="14" t="s">
        <v>1938</v>
      </c>
      <c r="N512" s="14" t="s">
        <v>1939</v>
      </c>
      <c r="O512" s="14" t="s">
        <v>64</v>
      </c>
      <c r="P512" s="14" t="s">
        <v>1940</v>
      </c>
      <c r="Q512" s="16">
        <v>46209.0</v>
      </c>
    </row>
    <row r="513">
      <c r="A513" s="13">
        <v>512.0</v>
      </c>
      <c r="B513" s="14" t="s">
        <v>842</v>
      </c>
      <c r="C513" s="14" t="s">
        <v>843</v>
      </c>
      <c r="D513" s="14" t="s">
        <v>844</v>
      </c>
      <c r="E513" s="14" t="s">
        <v>845</v>
      </c>
      <c r="F513" s="14" t="s">
        <v>40</v>
      </c>
      <c r="G513" s="14" t="s">
        <v>41</v>
      </c>
      <c r="H513" s="13">
        <v>3.0</v>
      </c>
      <c r="I513" s="14" t="s">
        <v>61</v>
      </c>
      <c r="J513" s="15" t="s">
        <v>1922</v>
      </c>
      <c r="K513" s="14" t="str">
        <f t="shared" si="1"/>
        <v>07</v>
      </c>
      <c r="L513" s="14" t="s">
        <v>1923</v>
      </c>
      <c r="M513" s="14" t="s">
        <v>1941</v>
      </c>
      <c r="N513" s="14" t="s">
        <v>1936</v>
      </c>
      <c r="O513" s="14" t="s">
        <v>64</v>
      </c>
      <c r="P513" s="14" t="s">
        <v>1942</v>
      </c>
      <c r="Q513" s="16">
        <v>46204.0</v>
      </c>
    </row>
    <row r="514">
      <c r="A514" s="13">
        <v>513.0</v>
      </c>
      <c r="B514" s="14" t="s">
        <v>1259</v>
      </c>
      <c r="C514" s="14" t="s">
        <v>1260</v>
      </c>
      <c r="D514" s="14" t="s">
        <v>1261</v>
      </c>
      <c r="E514" s="14" t="s">
        <v>1262</v>
      </c>
      <c r="F514" s="14" t="s">
        <v>40</v>
      </c>
      <c r="G514" s="14" t="s">
        <v>41</v>
      </c>
      <c r="H514" s="13">
        <v>3.0</v>
      </c>
      <c r="I514" s="14" t="s">
        <v>61</v>
      </c>
      <c r="J514" s="15" t="s">
        <v>1922</v>
      </c>
      <c r="K514" s="14" t="str">
        <f t="shared" si="1"/>
        <v>07</v>
      </c>
      <c r="L514" s="14" t="s">
        <v>1923</v>
      </c>
      <c r="M514" s="14" t="s">
        <v>1943</v>
      </c>
      <c r="N514" s="14" t="s">
        <v>1944</v>
      </c>
      <c r="O514" s="16">
        <v>46197.0</v>
      </c>
      <c r="P514" s="14" t="s">
        <v>1945</v>
      </c>
      <c r="Q514" s="16">
        <v>46163.0</v>
      </c>
    </row>
    <row r="515">
      <c r="A515" s="13">
        <v>514.0</v>
      </c>
      <c r="B515" s="14" t="s">
        <v>79</v>
      </c>
      <c r="C515" s="14" t="s">
        <v>80</v>
      </c>
      <c r="D515" s="14" t="s">
        <v>81</v>
      </c>
      <c r="E515" s="14" t="s">
        <v>82</v>
      </c>
      <c r="F515" s="14" t="s">
        <v>40</v>
      </c>
      <c r="G515" s="14" t="s">
        <v>41</v>
      </c>
      <c r="H515" s="13">
        <v>3.0</v>
      </c>
      <c r="I515" s="14" t="s">
        <v>42</v>
      </c>
      <c r="J515" s="15" t="s">
        <v>1922</v>
      </c>
      <c r="K515" s="14" t="str">
        <f t="shared" si="1"/>
        <v>07</v>
      </c>
      <c r="L515" s="14" t="s">
        <v>1923</v>
      </c>
      <c r="M515" s="14" t="s">
        <v>1946</v>
      </c>
      <c r="N515" s="14" t="s">
        <v>1947</v>
      </c>
      <c r="O515" s="16">
        <v>46265.0</v>
      </c>
      <c r="P515" s="14" t="s">
        <v>1948</v>
      </c>
      <c r="Q515" s="16">
        <v>46167.0</v>
      </c>
    </row>
    <row r="516">
      <c r="A516" s="13">
        <v>515.0</v>
      </c>
      <c r="B516" s="14" t="s">
        <v>852</v>
      </c>
      <c r="C516" s="14" t="s">
        <v>853</v>
      </c>
      <c r="D516" s="14" t="s">
        <v>854</v>
      </c>
      <c r="E516" s="14" t="s">
        <v>855</v>
      </c>
      <c r="F516" s="14" t="s">
        <v>40</v>
      </c>
      <c r="G516" s="14" t="s">
        <v>41</v>
      </c>
      <c r="H516" s="13">
        <v>3.0</v>
      </c>
      <c r="I516" s="14" t="s">
        <v>61</v>
      </c>
      <c r="J516" s="15" t="s">
        <v>1922</v>
      </c>
      <c r="K516" s="14" t="str">
        <f t="shared" si="1"/>
        <v>07</v>
      </c>
      <c r="L516" s="14" t="s">
        <v>1923</v>
      </c>
      <c r="M516" s="14" t="s">
        <v>1949</v>
      </c>
      <c r="N516" s="14" t="s">
        <v>1950</v>
      </c>
      <c r="O516" s="14" t="s">
        <v>64</v>
      </c>
      <c r="P516" s="14" t="s">
        <v>1951</v>
      </c>
      <c r="Q516" s="16">
        <v>46162.0</v>
      </c>
    </row>
    <row r="517">
      <c r="A517" s="13">
        <v>516.0</v>
      </c>
      <c r="B517" s="14" t="s">
        <v>434</v>
      </c>
      <c r="C517" s="14" t="s">
        <v>435</v>
      </c>
      <c r="D517" s="14" t="s">
        <v>436</v>
      </c>
      <c r="E517" s="14" t="s">
        <v>437</v>
      </c>
      <c r="F517" s="14" t="s">
        <v>40</v>
      </c>
      <c r="G517" s="14" t="s">
        <v>41</v>
      </c>
      <c r="H517" s="13">
        <v>3.0</v>
      </c>
      <c r="I517" s="14" t="s">
        <v>61</v>
      </c>
      <c r="J517" s="15" t="s">
        <v>1922</v>
      </c>
      <c r="K517" s="14" t="str">
        <f t="shared" si="1"/>
        <v>07</v>
      </c>
      <c r="L517" s="14" t="s">
        <v>1923</v>
      </c>
      <c r="M517" s="14" t="s">
        <v>1952</v>
      </c>
      <c r="N517" s="14" t="s">
        <v>1953</v>
      </c>
      <c r="O517" s="14" t="s">
        <v>64</v>
      </c>
      <c r="P517" s="14" t="s">
        <v>1954</v>
      </c>
      <c r="Q517" s="16">
        <v>46164.0</v>
      </c>
    </row>
    <row r="518">
      <c r="A518" s="13">
        <v>517.0</v>
      </c>
      <c r="B518" s="14" t="s">
        <v>615</v>
      </c>
      <c r="C518" s="14" t="s">
        <v>616</v>
      </c>
      <c r="D518" s="14" t="s">
        <v>617</v>
      </c>
      <c r="E518" s="14" t="s">
        <v>618</v>
      </c>
      <c r="F518" s="14" t="s">
        <v>40</v>
      </c>
      <c r="G518" s="14" t="s">
        <v>109</v>
      </c>
      <c r="H518" s="13">
        <v>3.0</v>
      </c>
      <c r="I518" s="14" t="s">
        <v>42</v>
      </c>
      <c r="J518" s="15" t="s">
        <v>1922</v>
      </c>
      <c r="K518" s="14" t="str">
        <f t="shared" si="1"/>
        <v>07</v>
      </c>
      <c r="L518" s="14" t="s">
        <v>1923</v>
      </c>
      <c r="M518" s="14" t="s">
        <v>1955</v>
      </c>
      <c r="N518" s="14" t="s">
        <v>1956</v>
      </c>
      <c r="O518" s="16">
        <v>46234.0</v>
      </c>
      <c r="P518" s="14" t="s">
        <v>1957</v>
      </c>
      <c r="Q518" s="16">
        <v>46161.0</v>
      </c>
    </row>
    <row r="519">
      <c r="A519" s="13">
        <v>518.0</v>
      </c>
      <c r="B519" s="14" t="s">
        <v>767</v>
      </c>
      <c r="C519" s="14" t="s">
        <v>768</v>
      </c>
      <c r="D519" s="14" t="s">
        <v>769</v>
      </c>
      <c r="E519" s="14" t="s">
        <v>770</v>
      </c>
      <c r="F519" s="14" t="s">
        <v>178</v>
      </c>
      <c r="G519" s="14" t="s">
        <v>109</v>
      </c>
      <c r="H519" s="13">
        <v>3.0</v>
      </c>
      <c r="I519" s="14" t="s">
        <v>61</v>
      </c>
      <c r="J519" s="15" t="s">
        <v>1922</v>
      </c>
      <c r="K519" s="14" t="str">
        <f t="shared" si="1"/>
        <v>07</v>
      </c>
      <c r="L519" s="14" t="s">
        <v>1923</v>
      </c>
      <c r="M519" s="14" t="s">
        <v>1958</v>
      </c>
      <c r="N519" s="14" t="s">
        <v>1959</v>
      </c>
      <c r="O519" s="14" t="s">
        <v>64</v>
      </c>
      <c r="P519" s="14" t="s">
        <v>1960</v>
      </c>
      <c r="Q519" s="16">
        <v>46171.0</v>
      </c>
    </row>
    <row r="520">
      <c r="A520" s="13">
        <v>519.0</v>
      </c>
      <c r="B520" s="14" t="s">
        <v>767</v>
      </c>
      <c r="C520" s="14" t="s">
        <v>768</v>
      </c>
      <c r="D520" s="14" t="s">
        <v>769</v>
      </c>
      <c r="E520" s="14" t="s">
        <v>776</v>
      </c>
      <c r="F520" s="14" t="s">
        <v>60</v>
      </c>
      <c r="G520" s="14" t="s">
        <v>109</v>
      </c>
      <c r="H520" s="13">
        <v>3.0</v>
      </c>
      <c r="I520" s="14" t="s">
        <v>61</v>
      </c>
      <c r="J520" s="15" t="s">
        <v>1922</v>
      </c>
      <c r="K520" s="14" t="str">
        <f t="shared" si="1"/>
        <v>07</v>
      </c>
      <c r="L520" s="14" t="s">
        <v>1923</v>
      </c>
      <c r="M520" s="14" t="s">
        <v>1958</v>
      </c>
      <c r="N520" s="14" t="s">
        <v>1959</v>
      </c>
      <c r="O520" s="14" t="s">
        <v>64</v>
      </c>
      <c r="P520" s="14" t="s">
        <v>1961</v>
      </c>
      <c r="Q520" s="16">
        <v>46171.0</v>
      </c>
    </row>
    <row r="521">
      <c r="A521" s="13">
        <v>520.0</v>
      </c>
      <c r="B521" s="14" t="s">
        <v>358</v>
      </c>
      <c r="C521" s="14" t="s">
        <v>359</v>
      </c>
      <c r="D521" s="14" t="s">
        <v>360</v>
      </c>
      <c r="E521" s="14" t="s">
        <v>361</v>
      </c>
      <c r="F521" s="14" t="s">
        <v>40</v>
      </c>
      <c r="G521" s="14" t="s">
        <v>109</v>
      </c>
      <c r="H521" s="13">
        <v>3.0</v>
      </c>
      <c r="I521" s="14" t="s">
        <v>61</v>
      </c>
      <c r="J521" s="15" t="s">
        <v>1922</v>
      </c>
      <c r="K521" s="14" t="str">
        <f t="shared" si="1"/>
        <v>07</v>
      </c>
      <c r="L521" s="14" t="s">
        <v>1923</v>
      </c>
      <c r="M521" s="14" t="s">
        <v>1962</v>
      </c>
      <c r="N521" s="14" t="s">
        <v>1963</v>
      </c>
      <c r="O521" s="14" t="s">
        <v>64</v>
      </c>
      <c r="P521" s="14" t="s">
        <v>1964</v>
      </c>
      <c r="Q521" s="16">
        <v>46184.0</v>
      </c>
    </row>
    <row r="522">
      <c r="A522" s="13">
        <v>521.0</v>
      </c>
      <c r="B522" s="14" t="s">
        <v>113</v>
      </c>
      <c r="C522" s="14" t="s">
        <v>114</v>
      </c>
      <c r="D522" s="14" t="s">
        <v>115</v>
      </c>
      <c r="E522" s="14" t="s">
        <v>116</v>
      </c>
      <c r="F522" s="14" t="s">
        <v>40</v>
      </c>
      <c r="G522" s="14" t="s">
        <v>109</v>
      </c>
      <c r="H522" s="13">
        <v>3.0</v>
      </c>
      <c r="I522" s="14" t="s">
        <v>61</v>
      </c>
      <c r="J522" s="15" t="s">
        <v>1922</v>
      </c>
      <c r="K522" s="14" t="str">
        <f t="shared" si="1"/>
        <v>07</v>
      </c>
      <c r="L522" s="14" t="s">
        <v>1923</v>
      </c>
      <c r="M522" s="14" t="s">
        <v>1965</v>
      </c>
      <c r="N522" s="14" t="s">
        <v>1966</v>
      </c>
      <c r="O522" s="14" t="s">
        <v>64</v>
      </c>
      <c r="P522" s="14" t="s">
        <v>1967</v>
      </c>
      <c r="Q522" s="16">
        <v>46180.0</v>
      </c>
    </row>
    <row r="523">
      <c r="A523" s="13">
        <v>522.0</v>
      </c>
      <c r="B523" s="14" t="s">
        <v>1287</v>
      </c>
      <c r="C523" s="14" t="s">
        <v>1288</v>
      </c>
      <c r="D523" s="14" t="s">
        <v>1289</v>
      </c>
      <c r="E523" s="14" t="s">
        <v>1290</v>
      </c>
      <c r="F523" s="14" t="s">
        <v>40</v>
      </c>
      <c r="G523" s="14" t="s">
        <v>146</v>
      </c>
      <c r="H523" s="13">
        <v>3.0</v>
      </c>
      <c r="I523" s="14" t="s">
        <v>61</v>
      </c>
      <c r="J523" s="15" t="s">
        <v>1922</v>
      </c>
      <c r="K523" s="14" t="str">
        <f t="shared" si="1"/>
        <v>07</v>
      </c>
      <c r="L523" s="14" t="s">
        <v>1923</v>
      </c>
      <c r="M523" s="14" t="s">
        <v>1968</v>
      </c>
      <c r="N523" s="14" t="s">
        <v>1969</v>
      </c>
      <c r="O523" s="14" t="s">
        <v>64</v>
      </c>
      <c r="P523" s="14" t="s">
        <v>1970</v>
      </c>
      <c r="Q523" s="16">
        <v>46244.0</v>
      </c>
    </row>
    <row r="524">
      <c r="A524" s="13">
        <v>523.0</v>
      </c>
      <c r="B524" s="14" t="s">
        <v>659</v>
      </c>
      <c r="C524" s="14" t="s">
        <v>660</v>
      </c>
      <c r="D524" s="14" t="s">
        <v>661</v>
      </c>
      <c r="E524" s="14" t="s">
        <v>662</v>
      </c>
      <c r="F524" s="14" t="s">
        <v>40</v>
      </c>
      <c r="G524" s="14" t="s">
        <v>146</v>
      </c>
      <c r="H524" s="13">
        <v>3.0</v>
      </c>
      <c r="I524" s="14" t="s">
        <v>61</v>
      </c>
      <c r="J524" s="15" t="s">
        <v>1922</v>
      </c>
      <c r="K524" s="14" t="str">
        <f t="shared" si="1"/>
        <v>07</v>
      </c>
      <c r="L524" s="14" t="s">
        <v>1923</v>
      </c>
      <c r="M524" s="14" t="s">
        <v>1971</v>
      </c>
      <c r="N524" s="14" t="s">
        <v>1972</v>
      </c>
      <c r="O524" s="14" t="s">
        <v>64</v>
      </c>
      <c r="P524" s="14" t="s">
        <v>1973</v>
      </c>
      <c r="Q524" s="16">
        <v>46266.0</v>
      </c>
    </row>
    <row r="525">
      <c r="A525" s="13">
        <v>524.0</v>
      </c>
      <c r="B525" s="14" t="s">
        <v>779</v>
      </c>
      <c r="C525" s="14" t="s">
        <v>780</v>
      </c>
      <c r="D525" s="14" t="s">
        <v>781</v>
      </c>
      <c r="E525" s="14" t="s">
        <v>782</v>
      </c>
      <c r="F525" s="14" t="s">
        <v>40</v>
      </c>
      <c r="G525" s="14" t="s">
        <v>146</v>
      </c>
      <c r="H525" s="13">
        <v>3.0</v>
      </c>
      <c r="I525" s="14" t="s">
        <v>61</v>
      </c>
      <c r="J525" s="15" t="s">
        <v>1922</v>
      </c>
      <c r="K525" s="14" t="str">
        <f t="shared" si="1"/>
        <v>07</v>
      </c>
      <c r="L525" s="14" t="s">
        <v>1923</v>
      </c>
      <c r="M525" s="14" t="s">
        <v>1974</v>
      </c>
      <c r="N525" s="14" t="s">
        <v>1975</v>
      </c>
      <c r="O525" s="14" t="s">
        <v>64</v>
      </c>
      <c r="P525" s="14" t="s">
        <v>1976</v>
      </c>
      <c r="Q525" s="16">
        <v>46274.0</v>
      </c>
    </row>
    <row r="526">
      <c r="A526" s="13">
        <v>525.0</v>
      </c>
      <c r="B526" s="14" t="s">
        <v>372</v>
      </c>
      <c r="C526" s="14" t="s">
        <v>373</v>
      </c>
      <c r="D526" s="14" t="s">
        <v>374</v>
      </c>
      <c r="E526" s="14" t="s">
        <v>375</v>
      </c>
      <c r="F526" s="14" t="s">
        <v>40</v>
      </c>
      <c r="G526" s="14" t="s">
        <v>146</v>
      </c>
      <c r="H526" s="13">
        <v>3.0</v>
      </c>
      <c r="I526" s="14" t="s">
        <v>61</v>
      </c>
      <c r="J526" s="15" t="s">
        <v>1922</v>
      </c>
      <c r="K526" s="14" t="str">
        <f t="shared" si="1"/>
        <v>07</v>
      </c>
      <c r="L526" s="14" t="s">
        <v>1923</v>
      </c>
      <c r="M526" s="14" t="s">
        <v>1977</v>
      </c>
      <c r="N526" s="14" t="s">
        <v>1978</v>
      </c>
      <c r="O526" s="14" t="s">
        <v>64</v>
      </c>
      <c r="P526" s="14" t="s">
        <v>1979</v>
      </c>
      <c r="Q526" s="16">
        <v>46195.0</v>
      </c>
    </row>
    <row r="527">
      <c r="A527" s="13">
        <v>526.0</v>
      </c>
      <c r="B527" s="14" t="s">
        <v>1326</v>
      </c>
      <c r="C527" s="14" t="s">
        <v>1098</v>
      </c>
      <c r="D527" s="14" t="s">
        <v>1099</v>
      </c>
      <c r="E527" s="14" t="s">
        <v>1327</v>
      </c>
      <c r="F527" s="14" t="s">
        <v>60</v>
      </c>
      <c r="G527" s="14" t="s">
        <v>146</v>
      </c>
      <c r="H527" s="13">
        <v>3.0</v>
      </c>
      <c r="I527" s="14" t="s">
        <v>61</v>
      </c>
      <c r="J527" s="15" t="s">
        <v>1922</v>
      </c>
      <c r="K527" s="14" t="str">
        <f t="shared" si="1"/>
        <v>07</v>
      </c>
      <c r="L527" s="14" t="s">
        <v>1923</v>
      </c>
      <c r="M527" s="14" t="s">
        <v>1980</v>
      </c>
      <c r="N527" s="14" t="s">
        <v>1981</v>
      </c>
      <c r="O527" s="16">
        <v>46286.0</v>
      </c>
      <c r="P527" s="14" t="s">
        <v>1982</v>
      </c>
      <c r="Q527" s="16">
        <v>46262.0</v>
      </c>
    </row>
    <row r="528">
      <c r="A528" s="13">
        <v>527.0</v>
      </c>
      <c r="B528" s="14" t="s">
        <v>900</v>
      </c>
      <c r="C528" s="14" t="s">
        <v>901</v>
      </c>
      <c r="D528" s="14" t="s">
        <v>902</v>
      </c>
      <c r="E528" s="14" t="s">
        <v>903</v>
      </c>
      <c r="F528" s="14" t="s">
        <v>40</v>
      </c>
      <c r="G528" s="14" t="s">
        <v>146</v>
      </c>
      <c r="H528" s="13">
        <v>3.0</v>
      </c>
      <c r="I528" s="14" t="s">
        <v>61</v>
      </c>
      <c r="J528" s="15" t="s">
        <v>1922</v>
      </c>
      <c r="K528" s="14" t="str">
        <f t="shared" si="1"/>
        <v>07</v>
      </c>
      <c r="L528" s="14" t="s">
        <v>1923</v>
      </c>
      <c r="M528" s="14" t="s">
        <v>1983</v>
      </c>
      <c r="N528" s="14" t="s">
        <v>1984</v>
      </c>
      <c r="O528" s="16">
        <v>46305.0</v>
      </c>
      <c r="P528" s="14" t="s">
        <v>1985</v>
      </c>
      <c r="Q528" s="16">
        <v>46273.0</v>
      </c>
    </row>
    <row r="529">
      <c r="A529" s="13">
        <v>528.0</v>
      </c>
      <c r="B529" s="14" t="s">
        <v>907</v>
      </c>
      <c r="C529" s="14" t="s">
        <v>908</v>
      </c>
      <c r="D529" s="14" t="s">
        <v>909</v>
      </c>
      <c r="E529" s="14" t="s">
        <v>910</v>
      </c>
      <c r="F529" s="14" t="s">
        <v>40</v>
      </c>
      <c r="G529" s="14" t="s">
        <v>146</v>
      </c>
      <c r="H529" s="13">
        <v>3.0</v>
      </c>
      <c r="I529" s="14" t="s">
        <v>61</v>
      </c>
      <c r="J529" s="15" t="s">
        <v>1922</v>
      </c>
      <c r="K529" s="14" t="str">
        <f t="shared" si="1"/>
        <v>07</v>
      </c>
      <c r="L529" s="14" t="s">
        <v>1923</v>
      </c>
      <c r="M529" s="14" t="s">
        <v>1986</v>
      </c>
      <c r="N529" s="14" t="s">
        <v>1987</v>
      </c>
      <c r="O529" s="16">
        <v>46304.0</v>
      </c>
      <c r="P529" s="14" t="s">
        <v>1988</v>
      </c>
      <c r="Q529" s="16">
        <v>46266.0</v>
      </c>
    </row>
    <row r="530">
      <c r="A530" s="13">
        <v>529.0</v>
      </c>
      <c r="B530" s="14" t="s">
        <v>150</v>
      </c>
      <c r="C530" s="14" t="s">
        <v>151</v>
      </c>
      <c r="D530" s="14" t="s">
        <v>152</v>
      </c>
      <c r="E530" s="14" t="s">
        <v>153</v>
      </c>
      <c r="F530" s="14" t="s">
        <v>154</v>
      </c>
      <c r="G530" s="14" t="s">
        <v>146</v>
      </c>
      <c r="H530" s="13">
        <v>3.0</v>
      </c>
      <c r="I530" s="14" t="s">
        <v>61</v>
      </c>
      <c r="J530" s="15" t="s">
        <v>1922</v>
      </c>
      <c r="K530" s="14" t="str">
        <f t="shared" si="1"/>
        <v>07</v>
      </c>
      <c r="L530" s="14" t="s">
        <v>1923</v>
      </c>
      <c r="M530" s="14" t="s">
        <v>1989</v>
      </c>
      <c r="N530" s="14" t="s">
        <v>1990</v>
      </c>
      <c r="O530" s="14" t="s">
        <v>64</v>
      </c>
      <c r="P530" s="14" t="s">
        <v>1991</v>
      </c>
      <c r="Q530" s="16">
        <v>46239.0</v>
      </c>
    </row>
    <row r="531">
      <c r="A531" s="13">
        <v>530.0</v>
      </c>
      <c r="B531" s="14" t="s">
        <v>158</v>
      </c>
      <c r="C531" s="14" t="s">
        <v>159</v>
      </c>
      <c r="D531" s="14" t="s">
        <v>160</v>
      </c>
      <c r="E531" s="14" t="s">
        <v>161</v>
      </c>
      <c r="F531" s="14" t="s">
        <v>162</v>
      </c>
      <c r="G531" s="14" t="s">
        <v>146</v>
      </c>
      <c r="H531" s="13">
        <v>3.0</v>
      </c>
      <c r="I531" s="14" t="s">
        <v>61</v>
      </c>
      <c r="J531" s="15" t="s">
        <v>1922</v>
      </c>
      <c r="K531" s="14" t="str">
        <f t="shared" si="1"/>
        <v>07</v>
      </c>
      <c r="L531" s="14" t="s">
        <v>1923</v>
      </c>
      <c r="M531" s="14" t="s">
        <v>1992</v>
      </c>
      <c r="N531" s="14" t="s">
        <v>1993</v>
      </c>
      <c r="O531" s="14" t="s">
        <v>64</v>
      </c>
      <c r="P531" s="14" t="s">
        <v>1994</v>
      </c>
      <c r="Q531" s="16">
        <v>46275.0</v>
      </c>
    </row>
    <row r="532">
      <c r="A532" s="13">
        <v>531.0</v>
      </c>
      <c r="B532" s="14" t="s">
        <v>174</v>
      </c>
      <c r="C532" s="14" t="s">
        <v>175</v>
      </c>
      <c r="D532" s="14" t="s">
        <v>176</v>
      </c>
      <c r="E532" s="14" t="s">
        <v>177</v>
      </c>
      <c r="F532" s="14" t="s">
        <v>178</v>
      </c>
      <c r="G532" s="14" t="s">
        <v>146</v>
      </c>
      <c r="H532" s="13">
        <v>3.0</v>
      </c>
      <c r="I532" s="14" t="s">
        <v>42</v>
      </c>
      <c r="J532" s="15" t="s">
        <v>1922</v>
      </c>
      <c r="K532" s="14" t="str">
        <f t="shared" si="1"/>
        <v>07</v>
      </c>
      <c r="L532" s="14" t="s">
        <v>1923</v>
      </c>
      <c r="M532" s="14" t="s">
        <v>1995</v>
      </c>
      <c r="N532" s="14" t="s">
        <v>1996</v>
      </c>
      <c r="O532" s="16">
        <v>46297.0</v>
      </c>
      <c r="Q532" s="16">
        <v>46195.0</v>
      </c>
    </row>
    <row r="533">
      <c r="A533" s="13">
        <v>532.0</v>
      </c>
      <c r="B533" s="14" t="s">
        <v>181</v>
      </c>
      <c r="C533" s="14" t="s">
        <v>182</v>
      </c>
      <c r="D533" s="14" t="s">
        <v>183</v>
      </c>
      <c r="E533" s="14" t="s">
        <v>184</v>
      </c>
      <c r="F533" s="14" t="s">
        <v>40</v>
      </c>
      <c r="G533" s="14" t="s">
        <v>146</v>
      </c>
      <c r="H533" s="13">
        <v>3.0</v>
      </c>
      <c r="I533" s="14" t="s">
        <v>42</v>
      </c>
      <c r="J533" s="15" t="s">
        <v>1922</v>
      </c>
      <c r="K533" s="14" t="str">
        <f t="shared" si="1"/>
        <v>07</v>
      </c>
      <c r="L533" s="14" t="s">
        <v>1923</v>
      </c>
      <c r="M533" s="14" t="s">
        <v>1997</v>
      </c>
      <c r="N533" s="14" t="s">
        <v>1998</v>
      </c>
      <c r="O533" s="16">
        <v>46304.0</v>
      </c>
      <c r="P533" s="14" t="s">
        <v>1999</v>
      </c>
      <c r="Q533" s="16">
        <v>46198.0</v>
      </c>
    </row>
    <row r="534">
      <c r="A534" s="13">
        <v>533.0</v>
      </c>
      <c r="B534" s="14" t="s">
        <v>723</v>
      </c>
      <c r="C534" s="14" t="s">
        <v>724</v>
      </c>
      <c r="D534" s="14" t="s">
        <v>725</v>
      </c>
      <c r="E534" s="14" t="s">
        <v>726</v>
      </c>
      <c r="F534" s="14" t="s">
        <v>162</v>
      </c>
      <c r="G534" s="14" t="s">
        <v>146</v>
      </c>
      <c r="H534" s="13">
        <v>3.0</v>
      </c>
      <c r="I534" s="14" t="s">
        <v>42</v>
      </c>
      <c r="J534" s="15" t="s">
        <v>1922</v>
      </c>
      <c r="K534" s="14" t="str">
        <f t="shared" si="1"/>
        <v>07</v>
      </c>
      <c r="L534" s="14" t="s">
        <v>1923</v>
      </c>
      <c r="M534" s="14" t="s">
        <v>2000</v>
      </c>
      <c r="N534" s="14" t="s">
        <v>2001</v>
      </c>
      <c r="O534" s="16">
        <v>46310.0</v>
      </c>
      <c r="Q534" s="16">
        <v>46198.0</v>
      </c>
    </row>
    <row r="535">
      <c r="A535" s="13">
        <v>534.0</v>
      </c>
      <c r="B535" s="14" t="s">
        <v>1203</v>
      </c>
      <c r="C535" s="14" t="s">
        <v>1204</v>
      </c>
      <c r="D535" s="14" t="s">
        <v>1205</v>
      </c>
      <c r="E535" s="14" t="s">
        <v>1206</v>
      </c>
      <c r="F535" s="14" t="s">
        <v>40</v>
      </c>
      <c r="G535" s="14" t="s">
        <v>191</v>
      </c>
      <c r="H535" s="13">
        <v>3.0</v>
      </c>
      <c r="I535" s="14" t="s">
        <v>61</v>
      </c>
      <c r="J535" s="15" t="s">
        <v>1922</v>
      </c>
      <c r="K535" s="14" t="str">
        <f t="shared" si="1"/>
        <v>07</v>
      </c>
      <c r="L535" s="14" t="s">
        <v>1923</v>
      </c>
      <c r="M535" s="14" t="s">
        <v>2002</v>
      </c>
      <c r="N535" s="14" t="s">
        <v>1918</v>
      </c>
      <c r="O535" s="14" t="s">
        <v>64</v>
      </c>
      <c r="P535" s="14" t="s">
        <v>2003</v>
      </c>
      <c r="Q535" s="16">
        <v>46221.0</v>
      </c>
    </row>
    <row r="536">
      <c r="A536" s="13">
        <v>535.0</v>
      </c>
      <c r="B536" s="14" t="s">
        <v>385</v>
      </c>
      <c r="C536" s="14" t="s">
        <v>386</v>
      </c>
      <c r="D536" s="14" t="s">
        <v>387</v>
      </c>
      <c r="E536" s="14" t="s">
        <v>388</v>
      </c>
      <c r="F536" s="14" t="s">
        <v>40</v>
      </c>
      <c r="G536" s="14" t="s">
        <v>191</v>
      </c>
      <c r="H536" s="13">
        <v>3.0</v>
      </c>
      <c r="I536" s="14" t="s">
        <v>42</v>
      </c>
      <c r="J536" s="15" t="s">
        <v>1922</v>
      </c>
      <c r="K536" s="14" t="str">
        <f t="shared" si="1"/>
        <v>07</v>
      </c>
      <c r="L536" s="14" t="s">
        <v>1923</v>
      </c>
      <c r="M536" s="14" t="s">
        <v>2004</v>
      </c>
      <c r="N536" s="14" t="s">
        <v>2005</v>
      </c>
      <c r="O536" s="16">
        <v>46290.0</v>
      </c>
      <c r="Q536" s="16">
        <v>46211.0</v>
      </c>
    </row>
    <row r="537">
      <c r="A537" s="13">
        <v>536.0</v>
      </c>
      <c r="B537" s="14" t="s">
        <v>392</v>
      </c>
      <c r="C537" s="14" t="s">
        <v>393</v>
      </c>
      <c r="D537" s="14" t="s">
        <v>394</v>
      </c>
      <c r="E537" s="14" t="s">
        <v>395</v>
      </c>
      <c r="F537" s="14" t="s">
        <v>40</v>
      </c>
      <c r="G537" s="14" t="s">
        <v>191</v>
      </c>
      <c r="H537" s="13">
        <v>3.0</v>
      </c>
      <c r="I537" s="14" t="s">
        <v>42</v>
      </c>
      <c r="J537" s="15" t="s">
        <v>1922</v>
      </c>
      <c r="K537" s="14" t="str">
        <f t="shared" si="1"/>
        <v>07</v>
      </c>
      <c r="L537" s="14" t="s">
        <v>1923</v>
      </c>
      <c r="M537" s="14" t="s">
        <v>2006</v>
      </c>
      <c r="N537" s="14" t="s">
        <v>2007</v>
      </c>
      <c r="O537" s="16">
        <v>46299.0</v>
      </c>
      <c r="Q537" s="16">
        <v>46287.0</v>
      </c>
    </row>
    <row r="538">
      <c r="A538" s="13">
        <v>537.0</v>
      </c>
      <c r="B538" s="14" t="s">
        <v>196</v>
      </c>
      <c r="C538" s="14" t="s">
        <v>197</v>
      </c>
      <c r="D538" s="14" t="s">
        <v>198</v>
      </c>
      <c r="E538" s="14" t="s">
        <v>734</v>
      </c>
      <c r="F538" s="14" t="s">
        <v>527</v>
      </c>
      <c r="G538" s="14" t="s">
        <v>191</v>
      </c>
      <c r="H538" s="13">
        <v>3.0</v>
      </c>
      <c r="I538" s="14" t="s">
        <v>42</v>
      </c>
      <c r="J538" s="15" t="s">
        <v>1922</v>
      </c>
      <c r="K538" s="14" t="str">
        <f t="shared" si="1"/>
        <v>07</v>
      </c>
      <c r="L538" s="14" t="s">
        <v>1923</v>
      </c>
      <c r="M538" s="14" t="s">
        <v>2008</v>
      </c>
      <c r="N538" s="14" t="s">
        <v>1921</v>
      </c>
      <c r="O538" s="16">
        <v>46289.0</v>
      </c>
      <c r="Q538" s="16">
        <v>46217.0</v>
      </c>
    </row>
    <row r="539">
      <c r="A539" s="13">
        <v>538.0</v>
      </c>
      <c r="B539" s="14" t="s">
        <v>196</v>
      </c>
      <c r="C539" s="14" t="s">
        <v>197</v>
      </c>
      <c r="D539" s="14" t="s">
        <v>198</v>
      </c>
      <c r="E539" s="14" t="s">
        <v>1006</v>
      </c>
      <c r="F539" s="14" t="s">
        <v>543</v>
      </c>
      <c r="G539" s="14" t="s">
        <v>191</v>
      </c>
      <c r="H539" s="13">
        <v>3.0</v>
      </c>
      <c r="I539" s="14" t="s">
        <v>42</v>
      </c>
      <c r="J539" s="15" t="s">
        <v>1922</v>
      </c>
      <c r="K539" s="14" t="str">
        <f t="shared" si="1"/>
        <v>07</v>
      </c>
      <c r="L539" s="14" t="s">
        <v>1923</v>
      </c>
      <c r="M539" s="14" t="s">
        <v>2009</v>
      </c>
      <c r="N539" s="14" t="s">
        <v>2010</v>
      </c>
      <c r="O539" s="16">
        <v>46294.0</v>
      </c>
      <c r="Q539" s="16">
        <v>46217.0</v>
      </c>
    </row>
    <row r="540">
      <c r="A540" s="13">
        <v>539.0</v>
      </c>
      <c r="B540" s="14" t="s">
        <v>196</v>
      </c>
      <c r="C540" s="14" t="s">
        <v>197</v>
      </c>
      <c r="D540" s="14" t="s">
        <v>198</v>
      </c>
      <c r="E540" s="14" t="s">
        <v>488</v>
      </c>
      <c r="F540" s="14" t="s">
        <v>489</v>
      </c>
      <c r="G540" s="14" t="s">
        <v>191</v>
      </c>
      <c r="H540" s="13">
        <v>3.0</v>
      </c>
      <c r="I540" s="14" t="s">
        <v>42</v>
      </c>
      <c r="J540" s="15" t="s">
        <v>1922</v>
      </c>
      <c r="K540" s="14" t="str">
        <f t="shared" si="1"/>
        <v>07</v>
      </c>
      <c r="L540" s="14" t="s">
        <v>1923</v>
      </c>
      <c r="M540" s="14" t="s">
        <v>2011</v>
      </c>
      <c r="N540" s="14" t="s">
        <v>2012</v>
      </c>
      <c r="O540" s="16">
        <v>46289.0</v>
      </c>
      <c r="Q540" s="16">
        <v>46217.0</v>
      </c>
    </row>
    <row r="541">
      <c r="A541" s="13">
        <v>540.0</v>
      </c>
      <c r="B541" s="14" t="s">
        <v>2013</v>
      </c>
      <c r="C541" s="14" t="s">
        <v>2014</v>
      </c>
      <c r="D541" s="14" t="s">
        <v>2015</v>
      </c>
      <c r="E541" s="14" t="s">
        <v>2016</v>
      </c>
      <c r="F541" s="14" t="s">
        <v>207</v>
      </c>
      <c r="G541" s="14" t="s">
        <v>191</v>
      </c>
      <c r="H541" s="13">
        <v>3.0</v>
      </c>
      <c r="I541" s="14" t="s">
        <v>61</v>
      </c>
      <c r="J541" s="15" t="s">
        <v>1922</v>
      </c>
      <c r="K541" s="14" t="str">
        <f t="shared" si="1"/>
        <v>07</v>
      </c>
      <c r="L541" s="14" t="s">
        <v>1923</v>
      </c>
      <c r="M541" s="14" t="s">
        <v>2017</v>
      </c>
      <c r="N541" s="14" t="s">
        <v>2018</v>
      </c>
      <c r="O541" s="14" t="s">
        <v>64</v>
      </c>
      <c r="P541" s="14" t="s">
        <v>2019</v>
      </c>
      <c r="Q541" s="16">
        <v>46258.0</v>
      </c>
    </row>
    <row r="542">
      <c r="A542" s="13">
        <v>541.0</v>
      </c>
      <c r="B542" s="14" t="s">
        <v>1758</v>
      </c>
      <c r="C542" s="14" t="s">
        <v>1759</v>
      </c>
      <c r="D542" s="14" t="s">
        <v>1760</v>
      </c>
      <c r="E542" s="14" t="s">
        <v>1761</v>
      </c>
      <c r="F542" s="14" t="s">
        <v>154</v>
      </c>
      <c r="G542" s="14" t="s">
        <v>191</v>
      </c>
      <c r="H542" s="13">
        <v>3.0</v>
      </c>
      <c r="I542" s="14" t="s">
        <v>61</v>
      </c>
      <c r="J542" s="15" t="s">
        <v>1922</v>
      </c>
      <c r="K542" s="14" t="str">
        <f t="shared" si="1"/>
        <v>07</v>
      </c>
      <c r="L542" s="14" t="s">
        <v>1923</v>
      </c>
      <c r="M542" s="14" t="s">
        <v>2020</v>
      </c>
      <c r="N542" s="14" t="s">
        <v>2021</v>
      </c>
      <c r="O542" s="14" t="s">
        <v>64</v>
      </c>
      <c r="P542" s="14" t="s">
        <v>2022</v>
      </c>
      <c r="Q542" s="16">
        <v>46217.0</v>
      </c>
    </row>
    <row r="543">
      <c r="A543" s="13">
        <v>542.0</v>
      </c>
      <c r="B543" s="14" t="s">
        <v>786</v>
      </c>
      <c r="C543" s="14" t="s">
        <v>787</v>
      </c>
      <c r="D543" s="14" t="s">
        <v>788</v>
      </c>
      <c r="E543" s="14" t="s">
        <v>789</v>
      </c>
      <c r="F543" s="14" t="s">
        <v>207</v>
      </c>
      <c r="G543" s="14" t="s">
        <v>191</v>
      </c>
      <c r="H543" s="13">
        <v>3.0</v>
      </c>
      <c r="I543" s="14" t="s">
        <v>42</v>
      </c>
      <c r="J543" s="15" t="s">
        <v>1922</v>
      </c>
      <c r="K543" s="14" t="str">
        <f t="shared" si="1"/>
        <v>07</v>
      </c>
      <c r="L543" s="14" t="s">
        <v>1923</v>
      </c>
      <c r="M543" s="14" t="s">
        <v>2023</v>
      </c>
      <c r="N543" s="14" t="s">
        <v>2024</v>
      </c>
      <c r="O543" s="16">
        <v>46381.0</v>
      </c>
      <c r="Q543" s="16">
        <v>46217.0</v>
      </c>
    </row>
    <row r="544">
      <c r="A544" s="13">
        <v>543.0</v>
      </c>
      <c r="B544" s="14" t="s">
        <v>567</v>
      </c>
      <c r="C544" s="14" t="s">
        <v>568</v>
      </c>
      <c r="D544" s="14" t="s">
        <v>569</v>
      </c>
      <c r="E544" s="14" t="s">
        <v>570</v>
      </c>
      <c r="F544" s="14" t="s">
        <v>489</v>
      </c>
      <c r="G544" s="14" t="s">
        <v>191</v>
      </c>
      <c r="H544" s="13">
        <v>3.0</v>
      </c>
      <c r="I544" s="14" t="s">
        <v>61</v>
      </c>
      <c r="J544" s="15" t="s">
        <v>1922</v>
      </c>
      <c r="K544" s="14" t="str">
        <f t="shared" si="1"/>
        <v>07</v>
      </c>
      <c r="L544" s="14" t="s">
        <v>1923</v>
      </c>
      <c r="M544" s="14" t="s">
        <v>2025</v>
      </c>
      <c r="N544" s="14" t="s">
        <v>2026</v>
      </c>
      <c r="O544" s="14" t="s">
        <v>64</v>
      </c>
      <c r="P544" s="14" t="s">
        <v>2027</v>
      </c>
      <c r="Q544" s="16">
        <v>46247.0</v>
      </c>
    </row>
    <row r="545">
      <c r="A545" s="13">
        <v>544.0</v>
      </c>
      <c r="B545" s="14" t="s">
        <v>492</v>
      </c>
      <c r="C545" s="14" t="s">
        <v>493</v>
      </c>
      <c r="D545" s="14" t="s">
        <v>494</v>
      </c>
      <c r="E545" s="14" t="s">
        <v>495</v>
      </c>
      <c r="F545" s="14" t="s">
        <v>70</v>
      </c>
      <c r="G545" s="14" t="s">
        <v>191</v>
      </c>
      <c r="H545" s="13">
        <v>3.0</v>
      </c>
      <c r="I545" s="14" t="s">
        <v>61</v>
      </c>
      <c r="J545" s="15" t="s">
        <v>1922</v>
      </c>
      <c r="K545" s="14" t="str">
        <f t="shared" si="1"/>
        <v>07</v>
      </c>
      <c r="L545" s="14" t="s">
        <v>1923</v>
      </c>
      <c r="M545" s="14" t="s">
        <v>2028</v>
      </c>
      <c r="N545" s="14" t="s">
        <v>2029</v>
      </c>
      <c r="O545" s="14" t="s">
        <v>64</v>
      </c>
      <c r="P545" s="14" t="s">
        <v>2030</v>
      </c>
      <c r="Q545" s="16">
        <v>46225.0</v>
      </c>
    </row>
    <row r="546">
      <c r="A546" s="13">
        <v>545.0</v>
      </c>
      <c r="B546" s="14" t="s">
        <v>1585</v>
      </c>
      <c r="C546" s="14" t="s">
        <v>1586</v>
      </c>
      <c r="D546" s="14" t="s">
        <v>1587</v>
      </c>
      <c r="E546" s="14" t="s">
        <v>1588</v>
      </c>
      <c r="F546" s="14" t="s">
        <v>207</v>
      </c>
      <c r="G546" s="14" t="s">
        <v>191</v>
      </c>
      <c r="H546" s="13">
        <v>3.0</v>
      </c>
      <c r="I546" s="14" t="s">
        <v>61</v>
      </c>
      <c r="J546" s="15" t="s">
        <v>1922</v>
      </c>
      <c r="K546" s="14" t="str">
        <f t="shared" si="1"/>
        <v>07</v>
      </c>
      <c r="L546" s="14" t="s">
        <v>1923</v>
      </c>
      <c r="M546" s="14" t="s">
        <v>2031</v>
      </c>
      <c r="N546" s="14" t="s">
        <v>2032</v>
      </c>
      <c r="O546" s="14" t="s">
        <v>64</v>
      </c>
      <c r="P546" s="14" t="s">
        <v>2033</v>
      </c>
      <c r="Q546" s="16">
        <v>46233.0</v>
      </c>
    </row>
    <row r="547">
      <c r="A547" s="13">
        <v>546.0</v>
      </c>
      <c r="B547" s="14" t="s">
        <v>203</v>
      </c>
      <c r="C547" s="14" t="s">
        <v>204</v>
      </c>
      <c r="D547" s="14" t="s">
        <v>205</v>
      </c>
      <c r="E547" s="14" t="s">
        <v>206</v>
      </c>
      <c r="F547" s="14" t="s">
        <v>207</v>
      </c>
      <c r="G547" s="14" t="s">
        <v>191</v>
      </c>
      <c r="H547" s="13">
        <v>3.0</v>
      </c>
      <c r="I547" s="14" t="s">
        <v>61</v>
      </c>
      <c r="J547" s="15" t="s">
        <v>1922</v>
      </c>
      <c r="K547" s="14" t="str">
        <f t="shared" si="1"/>
        <v>07</v>
      </c>
      <c r="L547" s="14" t="s">
        <v>1923</v>
      </c>
      <c r="M547" s="14" t="s">
        <v>2034</v>
      </c>
      <c r="N547" s="14" t="s">
        <v>2035</v>
      </c>
      <c r="O547" s="14" t="s">
        <v>64</v>
      </c>
      <c r="P547" s="14" t="s">
        <v>2036</v>
      </c>
      <c r="Q547" s="16">
        <v>46283.0</v>
      </c>
    </row>
    <row r="548">
      <c r="A548" s="13">
        <v>547.0</v>
      </c>
      <c r="B548" s="14" t="s">
        <v>929</v>
      </c>
      <c r="C548" s="14" t="s">
        <v>930</v>
      </c>
      <c r="D548" s="14" t="s">
        <v>931</v>
      </c>
      <c r="E548" s="14" t="s">
        <v>932</v>
      </c>
      <c r="F548" s="14" t="s">
        <v>40</v>
      </c>
      <c r="G548" s="14" t="s">
        <v>222</v>
      </c>
      <c r="H548" s="13">
        <v>3.0</v>
      </c>
      <c r="I548" s="14" t="s">
        <v>61</v>
      </c>
      <c r="J548" s="15" t="s">
        <v>1922</v>
      </c>
      <c r="K548" s="14" t="str">
        <f t="shared" si="1"/>
        <v>07</v>
      </c>
      <c r="L548" s="14" t="s">
        <v>1923</v>
      </c>
      <c r="M548" s="14" t="s">
        <v>2037</v>
      </c>
      <c r="N548" s="14" t="s">
        <v>2038</v>
      </c>
      <c r="O548" s="14" t="s">
        <v>64</v>
      </c>
      <c r="P548" s="14" t="s">
        <v>2039</v>
      </c>
      <c r="Q548" s="16">
        <v>46234.0</v>
      </c>
    </row>
    <row r="549">
      <c r="A549" s="13">
        <v>548.0</v>
      </c>
      <c r="B549" s="14" t="s">
        <v>1606</v>
      </c>
      <c r="C549" s="14" t="s">
        <v>1607</v>
      </c>
      <c r="D549" s="14" t="s">
        <v>1608</v>
      </c>
      <c r="E549" s="14" t="s">
        <v>1609</v>
      </c>
      <c r="F549" s="14" t="s">
        <v>40</v>
      </c>
      <c r="G549" s="14" t="s">
        <v>222</v>
      </c>
      <c r="H549" s="13">
        <v>3.0</v>
      </c>
      <c r="I549" s="14" t="s">
        <v>61</v>
      </c>
      <c r="J549" s="15" t="s">
        <v>1922</v>
      </c>
      <c r="K549" s="14" t="str">
        <f t="shared" si="1"/>
        <v>07</v>
      </c>
      <c r="L549" s="14" t="s">
        <v>1923</v>
      </c>
      <c r="M549" s="14" t="s">
        <v>2040</v>
      </c>
      <c r="N549" s="14" t="s">
        <v>2041</v>
      </c>
      <c r="O549" s="16">
        <v>46267.0</v>
      </c>
      <c r="P549" s="14" t="s">
        <v>2042</v>
      </c>
      <c r="Q549" s="16">
        <v>46234.0</v>
      </c>
    </row>
    <row r="550">
      <c r="A550" s="13">
        <v>549.0</v>
      </c>
      <c r="B550" s="14" t="s">
        <v>233</v>
      </c>
      <c r="C550" s="14" t="s">
        <v>234</v>
      </c>
      <c r="D550" s="14" t="s">
        <v>235</v>
      </c>
      <c r="E550" s="14" t="s">
        <v>236</v>
      </c>
      <c r="F550" s="14" t="s">
        <v>40</v>
      </c>
      <c r="G550" s="14" t="s">
        <v>222</v>
      </c>
      <c r="H550" s="13">
        <v>3.0</v>
      </c>
      <c r="I550" s="14" t="s">
        <v>42</v>
      </c>
      <c r="J550" s="15" t="s">
        <v>1922</v>
      </c>
      <c r="K550" s="14" t="str">
        <f t="shared" si="1"/>
        <v>07</v>
      </c>
      <c r="L550" s="14" t="s">
        <v>1923</v>
      </c>
      <c r="M550" s="14" t="s">
        <v>2043</v>
      </c>
      <c r="N550" s="14" t="s">
        <v>2044</v>
      </c>
      <c r="O550" s="16">
        <v>46291.0</v>
      </c>
      <c r="Q550" s="16">
        <v>46230.0</v>
      </c>
    </row>
    <row r="551">
      <c r="A551" s="13">
        <v>550.0</v>
      </c>
      <c r="B551" s="14" t="s">
        <v>1614</v>
      </c>
      <c r="C551" s="14" t="s">
        <v>1615</v>
      </c>
      <c r="D551" s="14" t="s">
        <v>1616</v>
      </c>
      <c r="E551" s="14" t="s">
        <v>1617</v>
      </c>
      <c r="F551" s="14" t="s">
        <v>40</v>
      </c>
      <c r="G551" s="14" t="s">
        <v>222</v>
      </c>
      <c r="H551" s="13">
        <v>3.0</v>
      </c>
      <c r="I551" s="14" t="s">
        <v>61</v>
      </c>
      <c r="J551" s="15" t="s">
        <v>1922</v>
      </c>
      <c r="K551" s="14" t="str">
        <f t="shared" si="1"/>
        <v>07</v>
      </c>
      <c r="L551" s="14" t="s">
        <v>1923</v>
      </c>
      <c r="M551" s="14" t="s">
        <v>2045</v>
      </c>
      <c r="N551" s="14" t="s">
        <v>2046</v>
      </c>
      <c r="O551" s="14" t="s">
        <v>64</v>
      </c>
      <c r="P551" s="14" t="s">
        <v>2047</v>
      </c>
      <c r="Q551" s="16">
        <v>46230.0</v>
      </c>
    </row>
    <row r="552">
      <c r="A552" s="13">
        <v>551.0</v>
      </c>
      <c r="B552" s="14" t="s">
        <v>398</v>
      </c>
      <c r="C552" s="14" t="s">
        <v>399</v>
      </c>
      <c r="D552" s="14" t="s">
        <v>400</v>
      </c>
      <c r="E552" s="14" t="s">
        <v>401</v>
      </c>
      <c r="F552" s="14" t="s">
        <v>40</v>
      </c>
      <c r="G552" s="14" t="s">
        <v>222</v>
      </c>
      <c r="H552" s="13">
        <v>3.0</v>
      </c>
      <c r="I552" s="14" t="s">
        <v>42</v>
      </c>
      <c r="J552" s="15" t="s">
        <v>1922</v>
      </c>
      <c r="K552" s="14" t="str">
        <f t="shared" si="1"/>
        <v>07</v>
      </c>
      <c r="L552" s="14" t="s">
        <v>1923</v>
      </c>
      <c r="M552" s="14" t="s">
        <v>2048</v>
      </c>
      <c r="N552" s="14" t="s">
        <v>2049</v>
      </c>
      <c r="O552" s="16">
        <v>46291.0</v>
      </c>
      <c r="P552" s="14" t="s">
        <v>2050</v>
      </c>
      <c r="Q552" s="16">
        <v>46230.0</v>
      </c>
    </row>
    <row r="553">
      <c r="A553" s="13">
        <v>552.0</v>
      </c>
      <c r="B553" s="14" t="s">
        <v>240</v>
      </c>
      <c r="C553" s="14" t="s">
        <v>241</v>
      </c>
      <c r="D553" s="14" t="s">
        <v>242</v>
      </c>
      <c r="E553" s="14" t="s">
        <v>243</v>
      </c>
      <c r="F553" s="14" t="s">
        <v>60</v>
      </c>
      <c r="G553" s="14" t="s">
        <v>222</v>
      </c>
      <c r="H553" s="13">
        <v>3.0</v>
      </c>
      <c r="I553" s="14" t="s">
        <v>42</v>
      </c>
      <c r="J553" s="15" t="s">
        <v>1922</v>
      </c>
      <c r="K553" s="14" t="str">
        <f t="shared" si="1"/>
        <v>07</v>
      </c>
      <c r="L553" s="14" t="s">
        <v>1923</v>
      </c>
      <c r="M553" s="14" t="s">
        <v>2051</v>
      </c>
      <c r="N553" s="14" t="s">
        <v>2052</v>
      </c>
      <c r="O553" s="16">
        <v>46291.0</v>
      </c>
      <c r="Q553" s="16">
        <v>46230.0</v>
      </c>
    </row>
    <row r="554">
      <c r="A554" s="13">
        <v>553.0</v>
      </c>
      <c r="B554" s="14" t="s">
        <v>398</v>
      </c>
      <c r="C554" s="14" t="s">
        <v>399</v>
      </c>
      <c r="D554" s="14" t="s">
        <v>400</v>
      </c>
      <c r="E554" s="14" t="s">
        <v>945</v>
      </c>
      <c r="F554" s="14" t="s">
        <v>489</v>
      </c>
      <c r="G554" s="14" t="s">
        <v>222</v>
      </c>
      <c r="H554" s="13">
        <v>3.0</v>
      </c>
      <c r="I554" s="14" t="s">
        <v>42</v>
      </c>
      <c r="J554" s="15" t="s">
        <v>1922</v>
      </c>
      <c r="K554" s="14" t="str">
        <f t="shared" si="1"/>
        <v>07</v>
      </c>
      <c r="L554" s="14" t="s">
        <v>1923</v>
      </c>
      <c r="M554" s="14" t="s">
        <v>2053</v>
      </c>
      <c r="N554" s="14" t="s">
        <v>2054</v>
      </c>
      <c r="O554" s="16">
        <v>46291.0</v>
      </c>
      <c r="Q554" s="16">
        <v>46230.0</v>
      </c>
    </row>
    <row r="555">
      <c r="A555" s="13">
        <v>554.0</v>
      </c>
      <c r="B555" s="14" t="s">
        <v>638</v>
      </c>
      <c r="C555" s="14" t="s">
        <v>639</v>
      </c>
      <c r="D555" s="14" t="s">
        <v>640</v>
      </c>
      <c r="E555" s="14" t="s">
        <v>641</v>
      </c>
      <c r="F555" s="14" t="s">
        <v>40</v>
      </c>
      <c r="G555" s="14" t="s">
        <v>222</v>
      </c>
      <c r="H555" s="13">
        <v>3.0</v>
      </c>
      <c r="I555" s="14" t="s">
        <v>42</v>
      </c>
      <c r="J555" s="15" t="s">
        <v>1922</v>
      </c>
      <c r="K555" s="14" t="str">
        <f t="shared" si="1"/>
        <v>07</v>
      </c>
      <c r="L555" s="14" t="s">
        <v>1923</v>
      </c>
      <c r="M555" s="14" t="s">
        <v>2055</v>
      </c>
      <c r="N555" s="14" t="s">
        <v>2056</v>
      </c>
      <c r="O555" s="14" t="s">
        <v>64</v>
      </c>
      <c r="P555" s="14" t="s">
        <v>2057</v>
      </c>
      <c r="Q555" s="16">
        <v>46230.0</v>
      </c>
    </row>
    <row r="556">
      <c r="A556" s="13">
        <v>555.0</v>
      </c>
      <c r="B556" s="14" t="s">
        <v>246</v>
      </c>
      <c r="C556" s="14" t="s">
        <v>247</v>
      </c>
      <c r="D556" s="14" t="s">
        <v>248</v>
      </c>
      <c r="E556" s="14" t="s">
        <v>526</v>
      </c>
      <c r="F556" s="14" t="s">
        <v>527</v>
      </c>
      <c r="G556" s="14" t="s">
        <v>222</v>
      </c>
      <c r="H556" s="13">
        <v>3.0</v>
      </c>
      <c r="I556" s="14" t="s">
        <v>42</v>
      </c>
      <c r="J556" s="15" t="s">
        <v>1922</v>
      </c>
      <c r="K556" s="14" t="str">
        <f t="shared" si="1"/>
        <v>07</v>
      </c>
      <c r="L556" s="14" t="s">
        <v>1923</v>
      </c>
      <c r="M556" s="14" t="s">
        <v>2058</v>
      </c>
      <c r="N556" s="14" t="s">
        <v>2059</v>
      </c>
      <c r="O556" s="16">
        <v>46291.0</v>
      </c>
      <c r="Q556" s="16">
        <v>46230.0</v>
      </c>
    </row>
    <row r="557">
      <c r="A557" s="13">
        <v>556.0</v>
      </c>
      <c r="B557" s="14" t="s">
        <v>246</v>
      </c>
      <c r="C557" s="14" t="s">
        <v>247</v>
      </c>
      <c r="D557" s="14" t="s">
        <v>248</v>
      </c>
      <c r="E557" s="14" t="s">
        <v>253</v>
      </c>
      <c r="F557" s="14" t="s">
        <v>40</v>
      </c>
      <c r="G557" s="14" t="s">
        <v>222</v>
      </c>
      <c r="H557" s="13">
        <v>3.0</v>
      </c>
      <c r="I557" s="14" t="s">
        <v>42</v>
      </c>
      <c r="J557" s="15" t="s">
        <v>1922</v>
      </c>
      <c r="K557" s="14" t="str">
        <f t="shared" si="1"/>
        <v>07</v>
      </c>
      <c r="L557" s="14" t="s">
        <v>1923</v>
      </c>
      <c r="M557" s="14" t="s">
        <v>2060</v>
      </c>
      <c r="N557" s="14" t="s">
        <v>2061</v>
      </c>
      <c r="O557" s="16">
        <v>46290.0</v>
      </c>
      <c r="Q557" s="16">
        <v>46230.0</v>
      </c>
    </row>
    <row r="558">
      <c r="A558" s="13">
        <v>557.0</v>
      </c>
      <c r="B558" s="14" t="s">
        <v>246</v>
      </c>
      <c r="C558" s="14" t="s">
        <v>247</v>
      </c>
      <c r="D558" s="14" t="s">
        <v>248</v>
      </c>
      <c r="E558" s="14" t="s">
        <v>577</v>
      </c>
      <c r="F558" s="14" t="s">
        <v>489</v>
      </c>
      <c r="G558" s="14" t="s">
        <v>222</v>
      </c>
      <c r="H558" s="13">
        <v>3.0</v>
      </c>
      <c r="I558" s="14" t="s">
        <v>42</v>
      </c>
      <c r="J558" s="15" t="s">
        <v>1922</v>
      </c>
      <c r="K558" s="14" t="str">
        <f t="shared" si="1"/>
        <v>07</v>
      </c>
      <c r="L558" s="14" t="s">
        <v>1923</v>
      </c>
      <c r="M558" s="14" t="s">
        <v>2062</v>
      </c>
      <c r="N558" s="14" t="s">
        <v>2063</v>
      </c>
      <c r="O558" s="16">
        <v>46291.0</v>
      </c>
      <c r="Q558" s="16">
        <v>46230.0</v>
      </c>
    </row>
    <row r="559">
      <c r="A559" s="13">
        <v>558.0</v>
      </c>
      <c r="B559" s="14" t="s">
        <v>951</v>
      </c>
      <c r="C559" s="14" t="s">
        <v>952</v>
      </c>
      <c r="D559" s="14" t="s">
        <v>953</v>
      </c>
      <c r="E559" s="14" t="s">
        <v>954</v>
      </c>
      <c r="F559" s="14" t="s">
        <v>40</v>
      </c>
      <c r="G559" s="14" t="s">
        <v>261</v>
      </c>
      <c r="H559" s="13">
        <v>3.0</v>
      </c>
      <c r="I559" s="14" t="s">
        <v>42</v>
      </c>
      <c r="J559" s="15" t="s">
        <v>1922</v>
      </c>
      <c r="K559" s="14" t="str">
        <f t="shared" si="1"/>
        <v>07</v>
      </c>
      <c r="L559" s="14" t="s">
        <v>1923</v>
      </c>
      <c r="M559" s="14" t="s">
        <v>2064</v>
      </c>
      <c r="N559" s="14" t="s">
        <v>2065</v>
      </c>
      <c r="O559" s="16">
        <v>46315.0</v>
      </c>
      <c r="P559" s="14" t="s">
        <v>2066</v>
      </c>
      <c r="Q559" s="16">
        <v>46291.0</v>
      </c>
    </row>
    <row r="560">
      <c r="A560" s="13">
        <v>559.0</v>
      </c>
      <c r="B560" s="14" t="s">
        <v>520</v>
      </c>
      <c r="C560" s="14" t="s">
        <v>521</v>
      </c>
      <c r="D560" s="14" t="s">
        <v>522</v>
      </c>
      <c r="E560" s="14" t="s">
        <v>523</v>
      </c>
      <c r="F560" s="14" t="s">
        <v>40</v>
      </c>
      <c r="G560" s="14" t="s">
        <v>261</v>
      </c>
      <c r="H560" s="13">
        <v>3.0</v>
      </c>
      <c r="I560" s="14" t="s">
        <v>42</v>
      </c>
      <c r="J560" s="15" t="s">
        <v>1922</v>
      </c>
      <c r="K560" s="14" t="str">
        <f t="shared" si="1"/>
        <v>07</v>
      </c>
      <c r="L560" s="14" t="s">
        <v>1923</v>
      </c>
      <c r="M560" s="14" t="s">
        <v>2067</v>
      </c>
      <c r="N560" s="14" t="s">
        <v>2068</v>
      </c>
      <c r="O560" s="16">
        <v>46316.0</v>
      </c>
      <c r="Q560" s="16">
        <v>46232.0</v>
      </c>
    </row>
    <row r="561">
      <c r="A561" s="13">
        <v>560.0</v>
      </c>
      <c r="B561" s="14" t="s">
        <v>647</v>
      </c>
      <c r="C561" s="14" t="s">
        <v>648</v>
      </c>
      <c r="D561" s="14" t="s">
        <v>649</v>
      </c>
      <c r="E561" s="14" t="s">
        <v>650</v>
      </c>
      <c r="F561" s="14" t="s">
        <v>40</v>
      </c>
      <c r="G561" s="14" t="s">
        <v>261</v>
      </c>
      <c r="H561" s="13">
        <v>3.0</v>
      </c>
      <c r="I561" s="14" t="s">
        <v>42</v>
      </c>
      <c r="J561" s="15" t="s">
        <v>1922</v>
      </c>
      <c r="K561" s="14" t="str">
        <f t="shared" si="1"/>
        <v>07</v>
      </c>
      <c r="L561" s="14" t="s">
        <v>1923</v>
      </c>
      <c r="M561" s="14" t="s">
        <v>2069</v>
      </c>
      <c r="N561" s="14" t="s">
        <v>2070</v>
      </c>
      <c r="O561" s="16">
        <v>46316.0</v>
      </c>
      <c r="P561" s="14" t="s">
        <v>2071</v>
      </c>
      <c r="Q561" s="16">
        <v>46232.0</v>
      </c>
    </row>
    <row r="562">
      <c r="A562" s="13">
        <v>561.0</v>
      </c>
      <c r="B562" s="14" t="s">
        <v>460</v>
      </c>
      <c r="C562" s="14" t="s">
        <v>461</v>
      </c>
      <c r="D562" s="14" t="s">
        <v>462</v>
      </c>
      <c r="E562" s="14" t="s">
        <v>463</v>
      </c>
      <c r="F562" s="14" t="s">
        <v>40</v>
      </c>
      <c r="G562" s="14" t="s">
        <v>261</v>
      </c>
      <c r="H562" s="13">
        <v>3.0</v>
      </c>
      <c r="I562" s="14" t="s">
        <v>42</v>
      </c>
      <c r="J562" s="15" t="s">
        <v>1922</v>
      </c>
      <c r="K562" s="14" t="str">
        <f t="shared" si="1"/>
        <v>07</v>
      </c>
      <c r="L562" s="14" t="s">
        <v>1923</v>
      </c>
      <c r="M562" s="14" t="s">
        <v>2072</v>
      </c>
      <c r="N562" s="14" t="s">
        <v>2073</v>
      </c>
      <c r="O562" s="14" t="s">
        <v>64</v>
      </c>
      <c r="P562" s="14" t="s">
        <v>2074</v>
      </c>
      <c r="Q562" s="16">
        <v>46255.0</v>
      </c>
    </row>
    <row r="563">
      <c r="A563" s="13">
        <v>562.0</v>
      </c>
      <c r="B563" s="14" t="s">
        <v>264</v>
      </c>
      <c r="C563" s="14" t="s">
        <v>265</v>
      </c>
      <c r="D563" s="14" t="s">
        <v>266</v>
      </c>
      <c r="E563" s="14" t="s">
        <v>267</v>
      </c>
      <c r="F563" s="14" t="s">
        <v>60</v>
      </c>
      <c r="G563" s="14" t="s">
        <v>261</v>
      </c>
      <c r="H563" s="13">
        <v>3.0</v>
      </c>
      <c r="I563" s="14" t="s">
        <v>61</v>
      </c>
      <c r="J563" s="15" t="s">
        <v>1922</v>
      </c>
      <c r="K563" s="14" t="str">
        <f t="shared" si="1"/>
        <v>07</v>
      </c>
      <c r="L563" s="14" t="s">
        <v>1923</v>
      </c>
      <c r="M563" s="14" t="s">
        <v>2075</v>
      </c>
      <c r="N563" s="14" t="s">
        <v>2076</v>
      </c>
      <c r="O563" s="16">
        <v>46290.0</v>
      </c>
      <c r="P563" s="14" t="s">
        <v>2077</v>
      </c>
      <c r="Q563" s="16">
        <v>46294.0</v>
      </c>
    </row>
    <row r="564">
      <c r="A564" s="13">
        <v>563.0</v>
      </c>
      <c r="B564" s="14" t="s">
        <v>272</v>
      </c>
      <c r="C564" s="14" t="s">
        <v>273</v>
      </c>
      <c r="D564" s="14" t="s">
        <v>274</v>
      </c>
      <c r="E564" s="14" t="s">
        <v>275</v>
      </c>
      <c r="F564" s="14" t="s">
        <v>40</v>
      </c>
      <c r="G564" s="14" t="s">
        <v>261</v>
      </c>
      <c r="H564" s="13">
        <v>3.0</v>
      </c>
      <c r="I564" s="14" t="s">
        <v>42</v>
      </c>
      <c r="J564" s="15" t="s">
        <v>1922</v>
      </c>
      <c r="K564" s="14" t="str">
        <f t="shared" si="1"/>
        <v>07</v>
      </c>
      <c r="L564" s="14" t="s">
        <v>1923</v>
      </c>
      <c r="M564" s="14" t="s">
        <v>2078</v>
      </c>
      <c r="N564" s="14" t="s">
        <v>2079</v>
      </c>
      <c r="O564" s="16">
        <v>46318.0</v>
      </c>
      <c r="Q564" s="16">
        <v>46233.0</v>
      </c>
    </row>
    <row r="565">
      <c r="A565" s="13">
        <v>564.0</v>
      </c>
      <c r="B565" s="14" t="s">
        <v>964</v>
      </c>
      <c r="C565" s="14" t="s">
        <v>965</v>
      </c>
      <c r="D565" s="14" t="s">
        <v>966</v>
      </c>
      <c r="E565" s="14" t="s">
        <v>967</v>
      </c>
      <c r="F565" s="14" t="s">
        <v>40</v>
      </c>
      <c r="G565" s="14" t="s">
        <v>261</v>
      </c>
      <c r="H565" s="13">
        <v>3.0</v>
      </c>
      <c r="I565" s="14" t="s">
        <v>61</v>
      </c>
      <c r="J565" s="15" t="s">
        <v>1922</v>
      </c>
      <c r="K565" s="14" t="str">
        <f t="shared" si="1"/>
        <v>07</v>
      </c>
      <c r="L565" s="14" t="s">
        <v>1923</v>
      </c>
      <c r="M565" s="14" t="s">
        <v>2080</v>
      </c>
      <c r="N565" s="14" t="s">
        <v>2081</v>
      </c>
      <c r="O565" s="14" t="s">
        <v>64</v>
      </c>
      <c r="P565" s="14" t="s">
        <v>2082</v>
      </c>
      <c r="Q565" s="16">
        <v>46286.0</v>
      </c>
    </row>
    <row r="566">
      <c r="A566" s="13">
        <v>565.0</v>
      </c>
      <c r="B566" s="14" t="s">
        <v>278</v>
      </c>
      <c r="C566" s="14" t="s">
        <v>279</v>
      </c>
      <c r="D566" s="14" t="s">
        <v>280</v>
      </c>
      <c r="E566" s="14" t="s">
        <v>281</v>
      </c>
      <c r="F566" s="14" t="s">
        <v>40</v>
      </c>
      <c r="G566" s="14" t="s">
        <v>261</v>
      </c>
      <c r="H566" s="13">
        <v>3.0</v>
      </c>
      <c r="I566" s="14" t="s">
        <v>61</v>
      </c>
      <c r="J566" s="15" t="s">
        <v>1922</v>
      </c>
      <c r="K566" s="14" t="str">
        <f t="shared" si="1"/>
        <v>07</v>
      </c>
      <c r="L566" s="14" t="s">
        <v>1923</v>
      </c>
      <c r="M566" s="14" t="s">
        <v>2083</v>
      </c>
      <c r="N566" s="14" t="s">
        <v>2084</v>
      </c>
      <c r="O566" s="16">
        <v>46290.0</v>
      </c>
      <c r="P566" s="14" t="s">
        <v>2085</v>
      </c>
      <c r="Q566" s="16">
        <v>46252.0</v>
      </c>
    </row>
    <row r="567">
      <c r="A567" s="13">
        <v>566.0</v>
      </c>
      <c r="B567" s="14" t="s">
        <v>1667</v>
      </c>
      <c r="C567" s="14" t="s">
        <v>1668</v>
      </c>
      <c r="D567" s="14" t="s">
        <v>1669</v>
      </c>
      <c r="E567" s="14" t="s">
        <v>1670</v>
      </c>
      <c r="F567" s="14" t="s">
        <v>40</v>
      </c>
      <c r="G567" s="14" t="s">
        <v>261</v>
      </c>
      <c r="H567" s="13">
        <v>3.0</v>
      </c>
      <c r="I567" s="14" t="s">
        <v>42</v>
      </c>
      <c r="J567" s="15" t="s">
        <v>1922</v>
      </c>
      <c r="K567" s="14" t="str">
        <f t="shared" si="1"/>
        <v>07</v>
      </c>
      <c r="L567" s="14" t="s">
        <v>1923</v>
      </c>
      <c r="M567" s="14" t="s">
        <v>2086</v>
      </c>
      <c r="N567" s="14" t="s">
        <v>2087</v>
      </c>
      <c r="O567" s="16">
        <v>46290.0</v>
      </c>
      <c r="Q567" s="16">
        <v>46233.0</v>
      </c>
    </row>
    <row r="568">
      <c r="A568" s="13">
        <v>567.0</v>
      </c>
      <c r="B568" s="14" t="s">
        <v>286</v>
      </c>
      <c r="C568" s="14" t="s">
        <v>287</v>
      </c>
      <c r="D568" s="14" t="s">
        <v>288</v>
      </c>
      <c r="E568" s="14" t="s">
        <v>289</v>
      </c>
      <c r="F568" s="14" t="s">
        <v>162</v>
      </c>
      <c r="G568" s="14" t="s">
        <v>261</v>
      </c>
      <c r="H568" s="13">
        <v>3.0</v>
      </c>
      <c r="I568" s="14" t="s">
        <v>42</v>
      </c>
      <c r="J568" s="15" t="s">
        <v>1922</v>
      </c>
      <c r="K568" s="14" t="str">
        <f t="shared" si="1"/>
        <v>07</v>
      </c>
      <c r="L568" s="14" t="s">
        <v>1923</v>
      </c>
      <c r="M568" s="14" t="s">
        <v>2088</v>
      </c>
      <c r="N568" s="14" t="s">
        <v>2089</v>
      </c>
      <c r="O568" s="14" t="s">
        <v>64</v>
      </c>
      <c r="Q568" s="16">
        <v>46233.0</v>
      </c>
    </row>
    <row r="569">
      <c r="A569" s="13">
        <v>568.0</v>
      </c>
      <c r="B569" s="14" t="s">
        <v>302</v>
      </c>
      <c r="C569" s="14" t="s">
        <v>303</v>
      </c>
      <c r="D569" s="14" t="s">
        <v>304</v>
      </c>
      <c r="E569" s="14" t="s">
        <v>305</v>
      </c>
      <c r="F569" s="14" t="s">
        <v>162</v>
      </c>
      <c r="G569" s="14" t="s">
        <v>261</v>
      </c>
      <c r="H569" s="13">
        <v>3.0</v>
      </c>
      <c r="I569" s="14" t="s">
        <v>42</v>
      </c>
      <c r="J569" s="15" t="s">
        <v>1922</v>
      </c>
      <c r="K569" s="14" t="str">
        <f t="shared" si="1"/>
        <v>07</v>
      </c>
      <c r="L569" s="14" t="s">
        <v>1923</v>
      </c>
      <c r="M569" s="14" t="s">
        <v>2090</v>
      </c>
      <c r="N569" s="14" t="s">
        <v>2091</v>
      </c>
      <c r="O569" s="14" t="s">
        <v>64</v>
      </c>
      <c r="P569" s="14" t="s">
        <v>2092</v>
      </c>
      <c r="Q569" s="16">
        <v>46271.0</v>
      </c>
    </row>
    <row r="570">
      <c r="A570" s="13">
        <v>569.0</v>
      </c>
      <c r="B570" s="14" t="s">
        <v>310</v>
      </c>
      <c r="C570" s="14" t="s">
        <v>311</v>
      </c>
      <c r="D570" s="14" t="s">
        <v>313</v>
      </c>
      <c r="E570" s="14" t="s">
        <v>314</v>
      </c>
      <c r="F570" s="14" t="s">
        <v>162</v>
      </c>
      <c r="G570" s="14" t="s">
        <v>261</v>
      </c>
      <c r="H570" s="13">
        <v>3.0</v>
      </c>
      <c r="I570" s="14" t="s">
        <v>42</v>
      </c>
      <c r="J570" s="15" t="s">
        <v>1922</v>
      </c>
      <c r="K570" s="14" t="str">
        <f t="shared" si="1"/>
        <v>07</v>
      </c>
      <c r="L570" s="14" t="s">
        <v>1923</v>
      </c>
      <c r="M570" s="14" t="s">
        <v>2093</v>
      </c>
      <c r="N570" s="14" t="s">
        <v>2094</v>
      </c>
      <c r="O570" s="14" t="s">
        <v>64</v>
      </c>
      <c r="P570" s="14" t="s">
        <v>2095</v>
      </c>
      <c r="Q570" s="16">
        <v>46252.0</v>
      </c>
    </row>
    <row r="571">
      <c r="A571" s="13">
        <v>570.0</v>
      </c>
      <c r="B571" s="14" t="s">
        <v>470</v>
      </c>
      <c r="C571" s="14" t="s">
        <v>471</v>
      </c>
      <c r="D571" s="14" t="s">
        <v>472</v>
      </c>
      <c r="E571" s="14" t="s">
        <v>473</v>
      </c>
      <c r="F571" s="14" t="s">
        <v>60</v>
      </c>
      <c r="G571" s="14" t="s">
        <v>261</v>
      </c>
      <c r="H571" s="13">
        <v>3.0</v>
      </c>
      <c r="I571" s="14" t="s">
        <v>42</v>
      </c>
      <c r="J571" s="15" t="s">
        <v>1922</v>
      </c>
      <c r="K571" s="14" t="str">
        <f t="shared" si="1"/>
        <v>07</v>
      </c>
      <c r="L571" s="14" t="s">
        <v>1923</v>
      </c>
      <c r="M571" s="14" t="s">
        <v>2096</v>
      </c>
      <c r="N571" s="14" t="s">
        <v>2097</v>
      </c>
      <c r="O571" s="16">
        <v>46275.0</v>
      </c>
      <c r="P571" s="14" t="s">
        <v>2098</v>
      </c>
      <c r="Q571" s="16">
        <v>46241.0</v>
      </c>
    </row>
    <row r="572">
      <c r="A572" s="13">
        <v>571.0</v>
      </c>
      <c r="B572" s="14" t="s">
        <v>478</v>
      </c>
      <c r="C572" s="14" t="s">
        <v>479</v>
      </c>
      <c r="D572" s="14" t="s">
        <v>480</v>
      </c>
      <c r="E572" s="14" t="s">
        <v>481</v>
      </c>
      <c r="F572" s="14" t="s">
        <v>70</v>
      </c>
      <c r="G572" s="14" t="s">
        <v>297</v>
      </c>
      <c r="H572" s="13">
        <v>3.0</v>
      </c>
      <c r="I572" s="14" t="s">
        <v>42</v>
      </c>
      <c r="J572" s="15" t="s">
        <v>1922</v>
      </c>
      <c r="K572" s="14" t="str">
        <f t="shared" si="1"/>
        <v>07</v>
      </c>
      <c r="L572" s="14" t="s">
        <v>1923</v>
      </c>
      <c r="M572" s="14" t="s">
        <v>2099</v>
      </c>
      <c r="N572" s="14" t="s">
        <v>2100</v>
      </c>
      <c r="O572" s="16">
        <v>46301.0</v>
      </c>
      <c r="Q572" s="16">
        <v>46238.0</v>
      </c>
    </row>
    <row r="573">
      <c r="A573" s="13">
        <v>572.0</v>
      </c>
      <c r="B573" s="14" t="s">
        <v>1688</v>
      </c>
      <c r="C573" s="14" t="s">
        <v>1689</v>
      </c>
      <c r="D573" s="14" t="s">
        <v>1690</v>
      </c>
      <c r="E573" s="14" t="s">
        <v>1691</v>
      </c>
      <c r="F573" s="14" t="s">
        <v>40</v>
      </c>
      <c r="G573" s="14" t="s">
        <v>329</v>
      </c>
      <c r="H573" s="13">
        <v>3.0</v>
      </c>
      <c r="I573" s="14" t="s">
        <v>61</v>
      </c>
      <c r="J573" s="15" t="s">
        <v>1922</v>
      </c>
      <c r="K573" s="14" t="str">
        <f t="shared" si="1"/>
        <v>07</v>
      </c>
      <c r="L573" s="14" t="s">
        <v>1923</v>
      </c>
      <c r="M573" s="14" t="s">
        <v>2101</v>
      </c>
      <c r="N573" s="14" t="s">
        <v>2102</v>
      </c>
      <c r="O573" s="14" t="s">
        <v>64</v>
      </c>
      <c r="P573" s="14" t="s">
        <v>2103</v>
      </c>
      <c r="Q573" s="16">
        <v>46284.0</v>
      </c>
    </row>
    <row r="574">
      <c r="A574" s="13">
        <v>573.0</v>
      </c>
      <c r="B574" s="14" t="s">
        <v>504</v>
      </c>
      <c r="C574" s="14" t="s">
        <v>505</v>
      </c>
      <c r="D574" s="14" t="s">
        <v>506</v>
      </c>
      <c r="E574" s="14" t="s">
        <v>507</v>
      </c>
      <c r="F574" s="14" t="s">
        <v>70</v>
      </c>
      <c r="G574" s="14" t="s">
        <v>329</v>
      </c>
      <c r="H574" s="13">
        <v>3.0</v>
      </c>
      <c r="I574" s="14" t="s">
        <v>42</v>
      </c>
      <c r="J574" s="15" t="s">
        <v>1922</v>
      </c>
      <c r="K574" s="14" t="str">
        <f t="shared" si="1"/>
        <v>07</v>
      </c>
      <c r="L574" s="14" t="s">
        <v>1923</v>
      </c>
      <c r="M574" s="14" t="s">
        <v>2104</v>
      </c>
      <c r="N574" s="14" t="s">
        <v>2105</v>
      </c>
      <c r="O574" s="16">
        <v>46331.0</v>
      </c>
      <c r="P574" s="14" t="s">
        <v>2106</v>
      </c>
      <c r="Q574" s="16">
        <v>46283.0</v>
      </c>
    </row>
    <row r="575">
      <c r="A575" s="13">
        <v>574.0</v>
      </c>
      <c r="B575" s="14" t="s">
        <v>333</v>
      </c>
      <c r="C575" s="14" t="s">
        <v>334</v>
      </c>
      <c r="D575" s="14" t="s">
        <v>335</v>
      </c>
      <c r="E575" s="14" t="s">
        <v>336</v>
      </c>
      <c r="F575" s="14" t="s">
        <v>70</v>
      </c>
      <c r="G575" s="14" t="s">
        <v>329</v>
      </c>
      <c r="H575" s="13">
        <v>3.0</v>
      </c>
      <c r="I575" s="14" t="s">
        <v>61</v>
      </c>
      <c r="J575" s="15" t="s">
        <v>1922</v>
      </c>
      <c r="K575" s="14" t="str">
        <f t="shared" si="1"/>
        <v>07</v>
      </c>
      <c r="L575" s="14" t="s">
        <v>1923</v>
      </c>
      <c r="M575" s="14" t="s">
        <v>2107</v>
      </c>
      <c r="N575" s="14" t="s">
        <v>2108</v>
      </c>
      <c r="O575" s="16">
        <v>46353.0</v>
      </c>
      <c r="P575" s="14" t="s">
        <v>2109</v>
      </c>
      <c r="Q575" s="16">
        <v>46269.0</v>
      </c>
    </row>
    <row r="576">
      <c r="A576" s="13">
        <v>575.0</v>
      </c>
      <c r="B576" s="14" t="s">
        <v>340</v>
      </c>
      <c r="C576" s="14" t="s">
        <v>341</v>
      </c>
      <c r="D576" s="14" t="s">
        <v>342</v>
      </c>
      <c r="E576" s="14" t="s">
        <v>343</v>
      </c>
      <c r="F576" s="14" t="s">
        <v>207</v>
      </c>
      <c r="G576" s="14" t="s">
        <v>329</v>
      </c>
      <c r="H576" s="13">
        <v>3.0</v>
      </c>
      <c r="I576" s="14" t="s">
        <v>61</v>
      </c>
      <c r="J576" s="15" t="s">
        <v>1922</v>
      </c>
      <c r="K576" s="14" t="str">
        <f t="shared" si="1"/>
        <v>07</v>
      </c>
      <c r="L576" s="14" t="s">
        <v>1923</v>
      </c>
      <c r="M576" s="14" t="s">
        <v>2110</v>
      </c>
      <c r="N576" s="14" t="s">
        <v>2111</v>
      </c>
      <c r="O576" s="16">
        <v>46292.0</v>
      </c>
      <c r="P576" s="14" t="s">
        <v>2112</v>
      </c>
      <c r="Q576" s="16">
        <v>46275.0</v>
      </c>
    </row>
    <row r="577">
      <c r="A577" s="13">
        <v>576.0</v>
      </c>
      <c r="B577" s="14" t="s">
        <v>36</v>
      </c>
      <c r="C577" s="14" t="s">
        <v>37</v>
      </c>
      <c r="D577" s="14" t="s">
        <v>38</v>
      </c>
      <c r="E577" s="14" t="s">
        <v>39</v>
      </c>
      <c r="F577" s="14" t="s">
        <v>40</v>
      </c>
      <c r="G577" s="14" t="s">
        <v>41</v>
      </c>
      <c r="H577" s="13">
        <v>3.0</v>
      </c>
      <c r="I577" s="14" t="s">
        <v>42</v>
      </c>
      <c r="J577" s="15" t="s">
        <v>2113</v>
      </c>
      <c r="K577" s="14" t="str">
        <f t="shared" si="1"/>
        <v>07</v>
      </c>
      <c r="L577" s="14" t="s">
        <v>2114</v>
      </c>
      <c r="M577" s="14" t="s">
        <v>2115</v>
      </c>
      <c r="N577" s="14" t="s">
        <v>1925</v>
      </c>
      <c r="O577" s="16">
        <v>46241.0</v>
      </c>
      <c r="Q577" s="16">
        <v>46147.0</v>
      </c>
    </row>
    <row r="578">
      <c r="A578" s="13">
        <v>577.0</v>
      </c>
      <c r="B578" s="14" t="s">
        <v>586</v>
      </c>
      <c r="C578" s="14" t="s">
        <v>587</v>
      </c>
      <c r="D578" s="14" t="s">
        <v>588</v>
      </c>
      <c r="E578" s="14" t="s">
        <v>589</v>
      </c>
      <c r="F578" s="14" t="s">
        <v>40</v>
      </c>
      <c r="G578" s="14" t="s">
        <v>41</v>
      </c>
      <c r="H578" s="13">
        <v>3.0</v>
      </c>
      <c r="I578" s="14" t="s">
        <v>42</v>
      </c>
      <c r="J578" s="15" t="s">
        <v>2113</v>
      </c>
      <c r="K578" s="14" t="str">
        <f t="shared" si="1"/>
        <v>07</v>
      </c>
      <c r="L578" s="14" t="s">
        <v>2114</v>
      </c>
      <c r="M578" s="14" t="s">
        <v>2116</v>
      </c>
      <c r="N578" s="14" t="s">
        <v>1927</v>
      </c>
      <c r="O578" s="16">
        <v>46265.0</v>
      </c>
      <c r="Q578" s="16">
        <v>46147.0</v>
      </c>
    </row>
    <row r="579">
      <c r="A579" s="13">
        <v>578.0</v>
      </c>
      <c r="B579" s="14" t="s">
        <v>48</v>
      </c>
      <c r="C579" s="14" t="s">
        <v>49</v>
      </c>
      <c r="D579" s="14" t="s">
        <v>50</v>
      </c>
      <c r="E579" s="14" t="s">
        <v>677</v>
      </c>
      <c r="F579" s="14" t="s">
        <v>527</v>
      </c>
      <c r="G579" s="14" t="s">
        <v>41</v>
      </c>
      <c r="H579" s="13">
        <v>3.0</v>
      </c>
      <c r="I579" s="14" t="s">
        <v>42</v>
      </c>
      <c r="J579" s="15" t="s">
        <v>2113</v>
      </c>
      <c r="K579" s="14" t="str">
        <f t="shared" si="1"/>
        <v>07</v>
      </c>
      <c r="L579" s="14" t="s">
        <v>2114</v>
      </c>
      <c r="M579" s="14" t="s">
        <v>2117</v>
      </c>
      <c r="N579" s="14" t="s">
        <v>1929</v>
      </c>
      <c r="O579" s="16">
        <v>46265.0</v>
      </c>
      <c r="Q579" s="16">
        <v>46147.0</v>
      </c>
    </row>
    <row r="580">
      <c r="A580" s="13">
        <v>579.0</v>
      </c>
      <c r="B580" s="14" t="s">
        <v>48</v>
      </c>
      <c r="C580" s="14" t="s">
        <v>49</v>
      </c>
      <c r="D580" s="14" t="s">
        <v>50</v>
      </c>
      <c r="E580" s="14" t="s">
        <v>829</v>
      </c>
      <c r="F580" s="14" t="s">
        <v>489</v>
      </c>
      <c r="G580" s="14" t="s">
        <v>41</v>
      </c>
      <c r="H580" s="13">
        <v>3.0</v>
      </c>
      <c r="I580" s="14" t="s">
        <v>42</v>
      </c>
      <c r="J580" s="15" t="s">
        <v>2113</v>
      </c>
      <c r="K580" s="14" t="str">
        <f t="shared" si="1"/>
        <v>07</v>
      </c>
      <c r="L580" s="14" t="s">
        <v>2114</v>
      </c>
      <c r="M580" s="14" t="s">
        <v>2118</v>
      </c>
      <c r="N580" s="14" t="s">
        <v>1931</v>
      </c>
      <c r="O580" s="16">
        <v>46257.0</v>
      </c>
      <c r="P580" s="14" t="s">
        <v>2119</v>
      </c>
      <c r="Q580" s="16">
        <v>46226.0</v>
      </c>
    </row>
    <row r="581">
      <c r="A581" s="13">
        <v>580.0</v>
      </c>
      <c r="B581" s="14" t="s">
        <v>836</v>
      </c>
      <c r="C581" s="14" t="s">
        <v>837</v>
      </c>
      <c r="D581" s="14" t="s">
        <v>838</v>
      </c>
      <c r="E581" s="14" t="s">
        <v>839</v>
      </c>
      <c r="F581" s="14" t="s">
        <v>40</v>
      </c>
      <c r="G581" s="14" t="s">
        <v>41</v>
      </c>
      <c r="H581" s="13">
        <v>3.0</v>
      </c>
      <c r="I581" s="14" t="s">
        <v>42</v>
      </c>
      <c r="J581" s="15" t="s">
        <v>2113</v>
      </c>
      <c r="K581" s="14" t="str">
        <f t="shared" si="1"/>
        <v>07</v>
      </c>
      <c r="L581" s="14" t="s">
        <v>2114</v>
      </c>
      <c r="M581" s="14" t="s">
        <v>2120</v>
      </c>
      <c r="N581" s="14" t="s">
        <v>1934</v>
      </c>
      <c r="O581" s="16">
        <v>46265.0</v>
      </c>
      <c r="Q581" s="16">
        <v>46147.0</v>
      </c>
    </row>
    <row r="582">
      <c r="A582" s="13">
        <v>581.0</v>
      </c>
      <c r="B582" s="14" t="s">
        <v>594</v>
      </c>
      <c r="C582" s="14" t="s">
        <v>595</v>
      </c>
      <c r="D582" s="14" t="s">
        <v>596</v>
      </c>
      <c r="E582" s="14" t="s">
        <v>597</v>
      </c>
      <c r="F582" s="14" t="s">
        <v>40</v>
      </c>
      <c r="G582" s="14" t="s">
        <v>41</v>
      </c>
      <c r="H582" s="13">
        <v>3.0</v>
      </c>
      <c r="I582" s="14" t="s">
        <v>61</v>
      </c>
      <c r="J582" s="15" t="s">
        <v>2113</v>
      </c>
      <c r="K582" s="14" t="str">
        <f t="shared" si="1"/>
        <v>07</v>
      </c>
      <c r="L582" s="14" t="s">
        <v>2114</v>
      </c>
      <c r="M582" s="14" t="s">
        <v>2121</v>
      </c>
      <c r="N582" s="14" t="s">
        <v>1936</v>
      </c>
      <c r="O582" s="16">
        <v>46269.0</v>
      </c>
      <c r="P582" s="14" t="s">
        <v>2122</v>
      </c>
      <c r="Q582" s="16">
        <v>46185.0</v>
      </c>
    </row>
    <row r="583">
      <c r="A583" s="13">
        <v>582.0</v>
      </c>
      <c r="B583" s="14" t="s">
        <v>1067</v>
      </c>
      <c r="C583" s="14" t="s">
        <v>1068</v>
      </c>
      <c r="D583" s="14" t="s">
        <v>1069</v>
      </c>
      <c r="E583" s="14" t="s">
        <v>1070</v>
      </c>
      <c r="F583" s="14" t="s">
        <v>40</v>
      </c>
      <c r="G583" s="14" t="s">
        <v>41</v>
      </c>
      <c r="H583" s="13">
        <v>3.0</v>
      </c>
      <c r="I583" s="14" t="s">
        <v>61</v>
      </c>
      <c r="J583" s="15" t="s">
        <v>2113</v>
      </c>
      <c r="K583" s="14" t="str">
        <f t="shared" si="1"/>
        <v>07</v>
      </c>
      <c r="L583" s="14" t="s">
        <v>2114</v>
      </c>
      <c r="M583" s="14" t="s">
        <v>2123</v>
      </c>
      <c r="N583" s="14" t="s">
        <v>1939</v>
      </c>
      <c r="O583" s="14" t="s">
        <v>64</v>
      </c>
      <c r="P583" s="14" t="s">
        <v>2124</v>
      </c>
      <c r="Q583" s="16">
        <v>46209.0</v>
      </c>
    </row>
    <row r="584">
      <c r="A584" s="13">
        <v>583.0</v>
      </c>
      <c r="B584" s="14" t="s">
        <v>842</v>
      </c>
      <c r="C584" s="14" t="s">
        <v>843</v>
      </c>
      <c r="D584" s="14" t="s">
        <v>844</v>
      </c>
      <c r="E584" s="14" t="s">
        <v>845</v>
      </c>
      <c r="F584" s="14" t="s">
        <v>40</v>
      </c>
      <c r="G584" s="14" t="s">
        <v>41</v>
      </c>
      <c r="H584" s="13">
        <v>3.0</v>
      </c>
      <c r="I584" s="14" t="s">
        <v>42</v>
      </c>
      <c r="J584" s="15" t="s">
        <v>2113</v>
      </c>
      <c r="K584" s="14" t="str">
        <f t="shared" si="1"/>
        <v>07</v>
      </c>
      <c r="L584" s="14" t="s">
        <v>2114</v>
      </c>
      <c r="M584" s="14" t="s">
        <v>2125</v>
      </c>
      <c r="N584" s="14" t="s">
        <v>1936</v>
      </c>
      <c r="O584" s="14" t="s">
        <v>64</v>
      </c>
      <c r="P584" s="14" t="s">
        <v>2126</v>
      </c>
      <c r="Q584" s="16">
        <v>46204.0</v>
      </c>
    </row>
    <row r="585">
      <c r="A585" s="13">
        <v>584.0</v>
      </c>
      <c r="B585" s="14" t="s">
        <v>1259</v>
      </c>
      <c r="C585" s="14" t="s">
        <v>1260</v>
      </c>
      <c r="D585" s="14" t="s">
        <v>1261</v>
      </c>
      <c r="E585" s="14" t="s">
        <v>1262</v>
      </c>
      <c r="F585" s="14" t="s">
        <v>40</v>
      </c>
      <c r="G585" s="14" t="s">
        <v>41</v>
      </c>
      <c r="H585" s="13">
        <v>3.0</v>
      </c>
      <c r="I585" s="14" t="s">
        <v>61</v>
      </c>
      <c r="J585" s="15" t="s">
        <v>2113</v>
      </c>
      <c r="K585" s="14" t="str">
        <f t="shared" si="1"/>
        <v>07</v>
      </c>
      <c r="L585" s="14" t="s">
        <v>2114</v>
      </c>
      <c r="M585" s="14" t="s">
        <v>2127</v>
      </c>
      <c r="N585" s="14" t="s">
        <v>1944</v>
      </c>
      <c r="O585" s="16">
        <v>46197.0</v>
      </c>
      <c r="P585" s="14" t="s">
        <v>2128</v>
      </c>
      <c r="Q585" s="16">
        <v>46163.0</v>
      </c>
    </row>
    <row r="586">
      <c r="A586" s="13">
        <v>585.0</v>
      </c>
      <c r="B586" s="14" t="s">
        <v>79</v>
      </c>
      <c r="C586" s="14" t="s">
        <v>80</v>
      </c>
      <c r="D586" s="14" t="s">
        <v>81</v>
      </c>
      <c r="E586" s="14" t="s">
        <v>82</v>
      </c>
      <c r="F586" s="14" t="s">
        <v>40</v>
      </c>
      <c r="G586" s="14" t="s">
        <v>41</v>
      </c>
      <c r="H586" s="13">
        <v>3.0</v>
      </c>
      <c r="I586" s="14" t="s">
        <v>42</v>
      </c>
      <c r="J586" s="15" t="s">
        <v>2113</v>
      </c>
      <c r="K586" s="14" t="str">
        <f t="shared" si="1"/>
        <v>07</v>
      </c>
      <c r="L586" s="14" t="s">
        <v>2114</v>
      </c>
      <c r="M586" s="14" t="s">
        <v>2129</v>
      </c>
      <c r="N586" s="14" t="s">
        <v>1947</v>
      </c>
      <c r="O586" s="16">
        <v>46265.0</v>
      </c>
      <c r="P586" s="14" t="s">
        <v>2130</v>
      </c>
      <c r="Q586" s="16">
        <v>46167.0</v>
      </c>
    </row>
    <row r="587">
      <c r="A587" s="13">
        <v>586.0</v>
      </c>
      <c r="B587" s="14" t="s">
        <v>426</v>
      </c>
      <c r="C587" s="14" t="s">
        <v>427</v>
      </c>
      <c r="D587" s="14" t="s">
        <v>429</v>
      </c>
      <c r="E587" s="14" t="s">
        <v>430</v>
      </c>
      <c r="F587" s="14" t="s">
        <v>250</v>
      </c>
      <c r="G587" s="14" t="s">
        <v>41</v>
      </c>
      <c r="H587" s="13">
        <v>3.0</v>
      </c>
      <c r="I587" s="14" t="s">
        <v>61</v>
      </c>
      <c r="J587" s="15" t="s">
        <v>2113</v>
      </c>
      <c r="K587" s="14" t="str">
        <f t="shared" si="1"/>
        <v>07</v>
      </c>
      <c r="L587" s="14" t="s">
        <v>2114</v>
      </c>
      <c r="M587" s="14" t="s">
        <v>2131</v>
      </c>
      <c r="N587" s="14" t="s">
        <v>2132</v>
      </c>
      <c r="O587" s="14" t="s">
        <v>64</v>
      </c>
      <c r="P587" s="14" t="s">
        <v>2133</v>
      </c>
      <c r="Q587" s="16">
        <v>46161.0</v>
      </c>
    </row>
    <row r="588">
      <c r="A588" s="13">
        <v>587.0</v>
      </c>
      <c r="B588" s="14" t="s">
        <v>852</v>
      </c>
      <c r="C588" s="14" t="s">
        <v>853</v>
      </c>
      <c r="D588" s="14" t="s">
        <v>854</v>
      </c>
      <c r="E588" s="14" t="s">
        <v>855</v>
      </c>
      <c r="F588" s="14" t="s">
        <v>40</v>
      </c>
      <c r="G588" s="14" t="s">
        <v>41</v>
      </c>
      <c r="H588" s="13">
        <v>3.0</v>
      </c>
      <c r="I588" s="14" t="s">
        <v>61</v>
      </c>
      <c r="J588" s="15" t="s">
        <v>2113</v>
      </c>
      <c r="K588" s="14" t="str">
        <f t="shared" si="1"/>
        <v>07</v>
      </c>
      <c r="L588" s="14" t="s">
        <v>2114</v>
      </c>
      <c r="M588" s="14" t="s">
        <v>2134</v>
      </c>
      <c r="N588" s="14" t="s">
        <v>1950</v>
      </c>
      <c r="O588" s="14" t="s">
        <v>64</v>
      </c>
      <c r="P588" s="14" t="s">
        <v>2135</v>
      </c>
      <c r="Q588" s="16">
        <v>46162.0</v>
      </c>
    </row>
    <row r="589">
      <c r="A589" s="13">
        <v>588.0</v>
      </c>
      <c r="B589" s="14" t="s">
        <v>434</v>
      </c>
      <c r="C589" s="14" t="s">
        <v>435</v>
      </c>
      <c r="D589" s="14" t="s">
        <v>436</v>
      </c>
      <c r="E589" s="14" t="s">
        <v>437</v>
      </c>
      <c r="F589" s="14" t="s">
        <v>40</v>
      </c>
      <c r="G589" s="14" t="s">
        <v>41</v>
      </c>
      <c r="H589" s="13">
        <v>3.0</v>
      </c>
      <c r="I589" s="14" t="s">
        <v>61</v>
      </c>
      <c r="J589" s="15" t="s">
        <v>2113</v>
      </c>
      <c r="K589" s="14" t="str">
        <f t="shared" si="1"/>
        <v>07</v>
      </c>
      <c r="L589" s="14" t="s">
        <v>2114</v>
      </c>
      <c r="M589" s="14" t="s">
        <v>2136</v>
      </c>
      <c r="N589" s="14" t="s">
        <v>1953</v>
      </c>
      <c r="O589" s="14" t="s">
        <v>64</v>
      </c>
      <c r="P589" s="14" t="s">
        <v>2137</v>
      </c>
      <c r="Q589" s="16">
        <v>46164.0</v>
      </c>
    </row>
    <row r="590">
      <c r="A590" s="13">
        <v>589.0</v>
      </c>
      <c r="B590" s="14" t="s">
        <v>1018</v>
      </c>
      <c r="C590" s="14" t="s">
        <v>1019</v>
      </c>
      <c r="D590" s="14" t="s">
        <v>1020</v>
      </c>
      <c r="E590" s="14" t="s">
        <v>1021</v>
      </c>
      <c r="F590" s="14" t="s">
        <v>60</v>
      </c>
      <c r="G590" s="14" t="s">
        <v>41</v>
      </c>
      <c r="H590" s="13">
        <v>3.0</v>
      </c>
      <c r="I590" s="14" t="s">
        <v>61</v>
      </c>
      <c r="J590" s="15" t="s">
        <v>2113</v>
      </c>
      <c r="K590" s="14" t="str">
        <f t="shared" si="1"/>
        <v>07</v>
      </c>
      <c r="L590" s="14" t="s">
        <v>2114</v>
      </c>
      <c r="M590" s="14" t="s">
        <v>2138</v>
      </c>
      <c r="N590" s="14" t="s">
        <v>2139</v>
      </c>
      <c r="O590" s="14" t="s">
        <v>64</v>
      </c>
      <c r="P590" s="14" t="s">
        <v>2140</v>
      </c>
      <c r="Q590" s="16">
        <v>46191.0</v>
      </c>
    </row>
    <row r="591">
      <c r="A591" s="13">
        <v>590.0</v>
      </c>
      <c r="B591" s="14" t="s">
        <v>601</v>
      </c>
      <c r="C591" s="14" t="s">
        <v>602</v>
      </c>
      <c r="D591" s="14" t="s">
        <v>603</v>
      </c>
      <c r="E591" s="14" t="s">
        <v>604</v>
      </c>
      <c r="F591" s="14" t="s">
        <v>40</v>
      </c>
      <c r="G591" s="14" t="s">
        <v>109</v>
      </c>
      <c r="H591" s="13">
        <v>3.0</v>
      </c>
      <c r="I591" s="14" t="s">
        <v>42</v>
      </c>
      <c r="J591" s="15" t="s">
        <v>2113</v>
      </c>
      <c r="K591" s="14" t="str">
        <f t="shared" si="1"/>
        <v>07</v>
      </c>
      <c r="L591" s="14" t="s">
        <v>2114</v>
      </c>
      <c r="M591" s="14" t="s">
        <v>2141</v>
      </c>
      <c r="N591" s="14" t="s">
        <v>2142</v>
      </c>
      <c r="O591" s="14" t="s">
        <v>64</v>
      </c>
      <c r="P591" s="14" t="s">
        <v>2143</v>
      </c>
      <c r="Q591" s="16">
        <v>46161.0</v>
      </c>
    </row>
    <row r="592">
      <c r="A592" s="13">
        <v>591.0</v>
      </c>
      <c r="B592" s="14" t="s">
        <v>690</v>
      </c>
      <c r="C592" s="14" t="s">
        <v>691</v>
      </c>
      <c r="D592" s="14" t="s">
        <v>692</v>
      </c>
      <c r="E592" s="14" t="s">
        <v>693</v>
      </c>
      <c r="F592" s="14" t="s">
        <v>70</v>
      </c>
      <c r="G592" s="14" t="s">
        <v>109</v>
      </c>
      <c r="H592" s="13">
        <v>3.0</v>
      </c>
      <c r="I592" s="14" t="s">
        <v>61</v>
      </c>
      <c r="J592" s="15" t="s">
        <v>2113</v>
      </c>
      <c r="K592" s="14" t="str">
        <f t="shared" si="1"/>
        <v>07</v>
      </c>
      <c r="L592" s="14" t="s">
        <v>2114</v>
      </c>
      <c r="M592" s="14" t="s">
        <v>2144</v>
      </c>
      <c r="N592" s="14" t="s">
        <v>2145</v>
      </c>
      <c r="O592" s="16">
        <v>46290.0</v>
      </c>
      <c r="P592" s="14" t="s">
        <v>2146</v>
      </c>
      <c r="Q592" s="16">
        <v>46238.0</v>
      </c>
    </row>
    <row r="593">
      <c r="A593" s="13">
        <v>592.0</v>
      </c>
      <c r="B593" s="14" t="s">
        <v>697</v>
      </c>
      <c r="C593" s="14" t="s">
        <v>698</v>
      </c>
      <c r="D593" s="14" t="s">
        <v>699</v>
      </c>
      <c r="E593" s="14" t="s">
        <v>700</v>
      </c>
      <c r="F593" s="14" t="s">
        <v>489</v>
      </c>
      <c r="G593" s="14" t="s">
        <v>109</v>
      </c>
      <c r="H593" s="13">
        <v>3.0</v>
      </c>
      <c r="I593" s="14" t="s">
        <v>61</v>
      </c>
      <c r="J593" s="15" t="s">
        <v>2113</v>
      </c>
      <c r="K593" s="14" t="str">
        <f t="shared" si="1"/>
        <v>07</v>
      </c>
      <c r="L593" s="14" t="s">
        <v>2114</v>
      </c>
      <c r="M593" s="14" t="s">
        <v>2147</v>
      </c>
      <c r="N593" s="14" t="s">
        <v>2148</v>
      </c>
      <c r="O593" s="14" t="s">
        <v>64</v>
      </c>
      <c r="P593" s="14" t="s">
        <v>2149</v>
      </c>
      <c r="Q593" s="16">
        <v>46188.0</v>
      </c>
    </row>
    <row r="594">
      <c r="A594" s="13">
        <v>593.0</v>
      </c>
      <c r="B594" s="14" t="s">
        <v>608</v>
      </c>
      <c r="C594" s="14" t="s">
        <v>609</v>
      </c>
      <c r="D594" s="14" t="s">
        <v>610</v>
      </c>
      <c r="E594" s="14" t="s">
        <v>611</v>
      </c>
      <c r="F594" s="14" t="s">
        <v>40</v>
      </c>
      <c r="G594" s="14" t="s">
        <v>109</v>
      </c>
      <c r="H594" s="13">
        <v>3.0</v>
      </c>
      <c r="I594" s="14" t="s">
        <v>61</v>
      </c>
      <c r="J594" s="15" t="s">
        <v>2113</v>
      </c>
      <c r="K594" s="14" t="str">
        <f t="shared" si="1"/>
        <v>07</v>
      </c>
      <c r="L594" s="14" t="s">
        <v>2114</v>
      </c>
      <c r="M594" s="14" t="s">
        <v>2150</v>
      </c>
      <c r="N594" s="14" t="s">
        <v>2151</v>
      </c>
      <c r="O594" s="14" t="s">
        <v>64</v>
      </c>
      <c r="P594" s="14" t="s">
        <v>2152</v>
      </c>
      <c r="Q594" s="16">
        <v>46210.0</v>
      </c>
    </row>
    <row r="595">
      <c r="A595" s="13">
        <v>594.0</v>
      </c>
      <c r="B595" s="14" t="s">
        <v>1728</v>
      </c>
      <c r="C595" s="14" t="s">
        <v>1729</v>
      </c>
      <c r="D595" s="14" t="s">
        <v>1730</v>
      </c>
      <c r="E595" s="14" t="s">
        <v>1731</v>
      </c>
      <c r="F595" s="14" t="s">
        <v>178</v>
      </c>
      <c r="G595" s="14" t="s">
        <v>109</v>
      </c>
      <c r="H595" s="13">
        <v>3.0</v>
      </c>
      <c r="I595" s="14" t="s">
        <v>61</v>
      </c>
      <c r="J595" s="15" t="s">
        <v>2113</v>
      </c>
      <c r="K595" s="14" t="str">
        <f t="shared" si="1"/>
        <v>07</v>
      </c>
      <c r="L595" s="14" t="s">
        <v>2114</v>
      </c>
      <c r="M595" s="14" t="s">
        <v>2153</v>
      </c>
      <c r="N595" s="14" t="s">
        <v>2148</v>
      </c>
      <c r="O595" s="14" t="s">
        <v>64</v>
      </c>
      <c r="P595" s="14" t="s">
        <v>2154</v>
      </c>
      <c r="Q595" s="16">
        <v>46191.0</v>
      </c>
    </row>
    <row r="596">
      <c r="A596" s="13">
        <v>595.0</v>
      </c>
      <c r="B596" s="14" t="s">
        <v>2155</v>
      </c>
      <c r="C596" s="14" t="s">
        <v>2156</v>
      </c>
      <c r="D596" s="14" t="s">
        <v>2157</v>
      </c>
      <c r="E596" s="14" t="s">
        <v>2158</v>
      </c>
      <c r="F596" s="14" t="s">
        <v>40</v>
      </c>
      <c r="G596" s="14" t="s">
        <v>109</v>
      </c>
      <c r="H596" s="13">
        <v>3.0</v>
      </c>
      <c r="I596" s="14" t="s">
        <v>61</v>
      </c>
      <c r="J596" s="15" t="s">
        <v>2113</v>
      </c>
      <c r="K596" s="14" t="str">
        <f t="shared" si="1"/>
        <v>07</v>
      </c>
      <c r="L596" s="14" t="s">
        <v>2114</v>
      </c>
      <c r="M596" s="14" t="s">
        <v>2159</v>
      </c>
      <c r="N596" s="14" t="s">
        <v>2160</v>
      </c>
      <c r="O596" s="14" t="s">
        <v>64</v>
      </c>
      <c r="P596" s="14" t="s">
        <v>2161</v>
      </c>
      <c r="Q596" s="16">
        <v>46165.0</v>
      </c>
    </row>
    <row r="597">
      <c r="A597" s="13">
        <v>596.0</v>
      </c>
      <c r="B597" s="14" t="s">
        <v>1451</v>
      </c>
      <c r="C597" s="14" t="s">
        <v>1452</v>
      </c>
      <c r="D597" s="14" t="s">
        <v>1453</v>
      </c>
      <c r="E597" s="14" t="s">
        <v>1454</v>
      </c>
      <c r="F597" s="14" t="s">
        <v>40</v>
      </c>
      <c r="G597" s="14" t="s">
        <v>109</v>
      </c>
      <c r="H597" s="13">
        <v>3.0</v>
      </c>
      <c r="I597" s="14" t="s">
        <v>61</v>
      </c>
      <c r="J597" s="15" t="s">
        <v>2113</v>
      </c>
      <c r="K597" s="14" t="str">
        <f t="shared" si="1"/>
        <v>07</v>
      </c>
      <c r="L597" s="14" t="s">
        <v>2114</v>
      </c>
      <c r="M597" s="14" t="s">
        <v>2162</v>
      </c>
      <c r="N597" s="14" t="s">
        <v>2163</v>
      </c>
      <c r="O597" s="16">
        <v>46241.0</v>
      </c>
      <c r="P597" s="14" t="s">
        <v>2164</v>
      </c>
      <c r="Q597" s="16">
        <v>46234.0</v>
      </c>
    </row>
    <row r="598">
      <c r="A598" s="13">
        <v>597.0</v>
      </c>
      <c r="B598" s="14" t="s">
        <v>615</v>
      </c>
      <c r="C598" s="14" t="s">
        <v>616</v>
      </c>
      <c r="D598" s="14" t="s">
        <v>617</v>
      </c>
      <c r="E598" s="14" t="s">
        <v>618</v>
      </c>
      <c r="F598" s="14" t="s">
        <v>40</v>
      </c>
      <c r="G598" s="14" t="s">
        <v>109</v>
      </c>
      <c r="H598" s="13">
        <v>3.0</v>
      </c>
      <c r="I598" s="14" t="s">
        <v>42</v>
      </c>
      <c r="J598" s="15" t="s">
        <v>2113</v>
      </c>
      <c r="K598" s="14" t="str">
        <f t="shared" si="1"/>
        <v>07</v>
      </c>
      <c r="L598" s="14" t="s">
        <v>2114</v>
      </c>
      <c r="M598" s="14" t="s">
        <v>2165</v>
      </c>
      <c r="N598" s="14" t="s">
        <v>1956</v>
      </c>
      <c r="O598" s="16">
        <v>46234.0</v>
      </c>
      <c r="P598" s="14" t="s">
        <v>2166</v>
      </c>
      <c r="Q598" s="16">
        <v>46161.0</v>
      </c>
    </row>
    <row r="599">
      <c r="A599" s="13">
        <v>598.0</v>
      </c>
      <c r="B599" s="14" t="s">
        <v>351</v>
      </c>
      <c r="C599" s="14" t="s">
        <v>352</v>
      </c>
      <c r="D599" s="14" t="s">
        <v>353</v>
      </c>
      <c r="E599" s="14" t="s">
        <v>354</v>
      </c>
      <c r="F599" s="14" t="s">
        <v>40</v>
      </c>
      <c r="G599" s="14" t="s">
        <v>109</v>
      </c>
      <c r="H599" s="13">
        <v>3.0</v>
      </c>
      <c r="I599" s="14" t="s">
        <v>42</v>
      </c>
      <c r="J599" s="15" t="s">
        <v>2113</v>
      </c>
      <c r="K599" s="14" t="str">
        <f t="shared" si="1"/>
        <v>07</v>
      </c>
      <c r="L599" s="14" t="s">
        <v>2114</v>
      </c>
      <c r="M599" s="14" t="s">
        <v>2167</v>
      </c>
      <c r="N599" s="14" t="s">
        <v>2168</v>
      </c>
      <c r="O599" s="14" t="s">
        <v>64</v>
      </c>
      <c r="Q599" s="16">
        <v>46162.0</v>
      </c>
    </row>
    <row r="600">
      <c r="A600" s="13">
        <v>599.0</v>
      </c>
      <c r="B600" s="14" t="s">
        <v>358</v>
      </c>
      <c r="C600" s="14" t="s">
        <v>359</v>
      </c>
      <c r="D600" s="14" t="s">
        <v>360</v>
      </c>
      <c r="E600" s="14" t="s">
        <v>361</v>
      </c>
      <c r="F600" s="14" t="s">
        <v>40</v>
      </c>
      <c r="G600" s="14" t="s">
        <v>109</v>
      </c>
      <c r="H600" s="13">
        <v>3.0</v>
      </c>
      <c r="I600" s="14" t="s">
        <v>61</v>
      </c>
      <c r="J600" s="15" t="s">
        <v>2113</v>
      </c>
      <c r="K600" s="14" t="str">
        <f t="shared" si="1"/>
        <v>07</v>
      </c>
      <c r="L600" s="14" t="s">
        <v>2114</v>
      </c>
      <c r="M600" s="14" t="s">
        <v>2169</v>
      </c>
      <c r="N600" s="14" t="s">
        <v>1963</v>
      </c>
      <c r="O600" s="14" t="s">
        <v>64</v>
      </c>
      <c r="P600" s="14" t="s">
        <v>2170</v>
      </c>
      <c r="Q600" s="16">
        <v>46184.0</v>
      </c>
    </row>
    <row r="601">
      <c r="A601" s="13">
        <v>600.0</v>
      </c>
      <c r="B601" s="14" t="s">
        <v>365</v>
      </c>
      <c r="C601" s="14" t="s">
        <v>366</v>
      </c>
      <c r="D601" s="14" t="s">
        <v>368</v>
      </c>
      <c r="E601" s="14" t="s">
        <v>369</v>
      </c>
      <c r="F601" s="14" t="s">
        <v>40</v>
      </c>
      <c r="G601" s="14" t="s">
        <v>109</v>
      </c>
      <c r="H601" s="13">
        <v>3.0</v>
      </c>
      <c r="I601" s="14" t="s">
        <v>42</v>
      </c>
      <c r="J601" s="15" t="s">
        <v>2113</v>
      </c>
      <c r="K601" s="14" t="str">
        <f t="shared" si="1"/>
        <v>07</v>
      </c>
      <c r="L601" s="14" t="s">
        <v>2114</v>
      </c>
      <c r="M601" s="14" t="s">
        <v>2171</v>
      </c>
      <c r="N601" s="14" t="s">
        <v>2172</v>
      </c>
      <c r="O601" s="16">
        <v>46285.0</v>
      </c>
      <c r="Q601" s="16">
        <v>46162.0</v>
      </c>
    </row>
    <row r="602">
      <c r="A602" s="13">
        <v>601.0</v>
      </c>
      <c r="B602" s="14" t="s">
        <v>113</v>
      </c>
      <c r="C602" s="14" t="s">
        <v>114</v>
      </c>
      <c r="D602" s="14" t="s">
        <v>115</v>
      </c>
      <c r="E602" s="14" t="s">
        <v>116</v>
      </c>
      <c r="F602" s="14" t="s">
        <v>40</v>
      </c>
      <c r="G602" s="14" t="s">
        <v>109</v>
      </c>
      <c r="H602" s="13">
        <v>3.0</v>
      </c>
      <c r="I602" s="14" t="s">
        <v>61</v>
      </c>
      <c r="J602" s="15" t="s">
        <v>2113</v>
      </c>
      <c r="K602" s="14" t="str">
        <f t="shared" si="1"/>
        <v>07</v>
      </c>
      <c r="L602" s="14" t="s">
        <v>2114</v>
      </c>
      <c r="M602" s="14" t="s">
        <v>2173</v>
      </c>
      <c r="N602" s="14" t="s">
        <v>1966</v>
      </c>
      <c r="O602" s="14" t="s">
        <v>64</v>
      </c>
      <c r="P602" s="14" t="s">
        <v>2174</v>
      </c>
      <c r="Q602" s="16">
        <v>46180.0</v>
      </c>
    </row>
    <row r="603">
      <c r="A603" s="13">
        <v>602.0</v>
      </c>
      <c r="B603" s="14" t="s">
        <v>120</v>
      </c>
      <c r="C603" s="14" t="s">
        <v>121</v>
      </c>
      <c r="D603" s="14" t="s">
        <v>122</v>
      </c>
      <c r="E603" s="14" t="s">
        <v>1085</v>
      </c>
      <c r="F603" s="14" t="s">
        <v>489</v>
      </c>
      <c r="G603" s="14" t="s">
        <v>124</v>
      </c>
      <c r="H603" s="13">
        <v>3.0</v>
      </c>
      <c r="I603" s="14" t="s">
        <v>42</v>
      </c>
      <c r="J603" s="15" t="s">
        <v>2113</v>
      </c>
      <c r="K603" s="14" t="str">
        <f t="shared" si="1"/>
        <v>07</v>
      </c>
      <c r="L603" s="14" t="s">
        <v>2114</v>
      </c>
      <c r="M603" s="14" t="s">
        <v>2175</v>
      </c>
      <c r="N603" s="14" t="s">
        <v>2176</v>
      </c>
      <c r="O603" s="16">
        <v>46304.0</v>
      </c>
      <c r="P603" s="14" t="s">
        <v>2177</v>
      </c>
      <c r="Q603" s="16">
        <v>46234.0</v>
      </c>
    </row>
    <row r="604">
      <c r="A604" s="13">
        <v>603.0</v>
      </c>
      <c r="B604" s="14" t="s">
        <v>120</v>
      </c>
      <c r="C604" s="14" t="s">
        <v>121</v>
      </c>
      <c r="D604" s="14" t="s">
        <v>122</v>
      </c>
      <c r="E604" s="14" t="s">
        <v>123</v>
      </c>
      <c r="F604" s="14" t="s">
        <v>40</v>
      </c>
      <c r="G604" s="14" t="s">
        <v>124</v>
      </c>
      <c r="H604" s="13">
        <v>3.0</v>
      </c>
      <c r="I604" s="14" t="s">
        <v>42</v>
      </c>
      <c r="J604" s="15" t="s">
        <v>2113</v>
      </c>
      <c r="K604" s="14" t="str">
        <f t="shared" si="1"/>
        <v>07</v>
      </c>
      <c r="L604" s="14" t="s">
        <v>2114</v>
      </c>
      <c r="M604" s="14" t="s">
        <v>2178</v>
      </c>
      <c r="N604" s="14" t="s">
        <v>2179</v>
      </c>
      <c r="O604" s="16">
        <v>46283.0</v>
      </c>
      <c r="P604" s="14" t="s">
        <v>2180</v>
      </c>
      <c r="Q604" s="16">
        <v>46252.0</v>
      </c>
    </row>
    <row r="605">
      <c r="A605" s="13">
        <v>604.0</v>
      </c>
      <c r="B605" s="14" t="s">
        <v>129</v>
      </c>
      <c r="C605" s="14" t="s">
        <v>130</v>
      </c>
      <c r="D605" s="14" t="s">
        <v>131</v>
      </c>
      <c r="E605" s="14" t="s">
        <v>132</v>
      </c>
      <c r="F605" s="14" t="s">
        <v>40</v>
      </c>
      <c r="G605" s="14" t="s">
        <v>124</v>
      </c>
      <c r="H605" s="13">
        <v>3.0</v>
      </c>
      <c r="I605" s="14" t="s">
        <v>42</v>
      </c>
      <c r="J605" s="15" t="s">
        <v>2113</v>
      </c>
      <c r="K605" s="14" t="str">
        <f t="shared" si="1"/>
        <v>07</v>
      </c>
      <c r="L605" s="14" t="s">
        <v>2114</v>
      </c>
      <c r="M605" s="14" t="s">
        <v>2181</v>
      </c>
      <c r="N605" s="14" t="s">
        <v>2182</v>
      </c>
      <c r="O605" s="16">
        <v>46285.0</v>
      </c>
      <c r="Q605" s="16">
        <v>46175.0</v>
      </c>
    </row>
    <row r="606">
      <c r="A606" s="13">
        <v>605.0</v>
      </c>
      <c r="B606" s="14" t="s">
        <v>1474</v>
      </c>
      <c r="C606" s="14" t="s">
        <v>1475</v>
      </c>
      <c r="D606" s="14" t="s">
        <v>1476</v>
      </c>
      <c r="E606" s="14" t="s">
        <v>1477</v>
      </c>
      <c r="F606" s="14" t="s">
        <v>40</v>
      </c>
      <c r="G606" s="14" t="s">
        <v>124</v>
      </c>
      <c r="H606" s="13">
        <v>3.0</v>
      </c>
      <c r="I606" s="14" t="s">
        <v>61</v>
      </c>
      <c r="J606" s="15" t="s">
        <v>2113</v>
      </c>
      <c r="K606" s="14" t="str">
        <f t="shared" si="1"/>
        <v>07</v>
      </c>
      <c r="L606" s="14" t="s">
        <v>2114</v>
      </c>
      <c r="M606" s="14" t="s">
        <v>2183</v>
      </c>
      <c r="N606" s="14" t="s">
        <v>2182</v>
      </c>
      <c r="O606" s="14" t="s">
        <v>64</v>
      </c>
      <c r="P606" s="14" t="s">
        <v>2184</v>
      </c>
      <c r="Q606" s="16">
        <v>46218.0</v>
      </c>
    </row>
    <row r="607">
      <c r="A607" s="13">
        <v>606.0</v>
      </c>
      <c r="B607" s="14" t="s">
        <v>883</v>
      </c>
      <c r="C607" s="14" t="s">
        <v>884</v>
      </c>
      <c r="D607" s="14" t="s">
        <v>885</v>
      </c>
      <c r="E607" s="14" t="s">
        <v>886</v>
      </c>
      <c r="F607" s="14" t="s">
        <v>40</v>
      </c>
      <c r="G607" s="14" t="s">
        <v>124</v>
      </c>
      <c r="H607" s="13">
        <v>3.0</v>
      </c>
      <c r="I607" s="14" t="s">
        <v>61</v>
      </c>
      <c r="J607" s="15" t="s">
        <v>2113</v>
      </c>
      <c r="K607" s="14" t="str">
        <f t="shared" si="1"/>
        <v>07</v>
      </c>
      <c r="L607" s="14" t="s">
        <v>2114</v>
      </c>
      <c r="M607" s="14" t="s">
        <v>2185</v>
      </c>
      <c r="N607" s="14" t="s">
        <v>2179</v>
      </c>
      <c r="O607" s="14" t="s">
        <v>64</v>
      </c>
      <c r="P607" s="14" t="s">
        <v>2186</v>
      </c>
      <c r="Q607" s="16">
        <v>46176.0</v>
      </c>
    </row>
    <row r="608">
      <c r="A608" s="13">
        <v>607.0</v>
      </c>
      <c r="B608" s="14" t="s">
        <v>1483</v>
      </c>
      <c r="C608" s="14" t="s">
        <v>1484</v>
      </c>
      <c r="D608" s="14" t="s">
        <v>1485</v>
      </c>
      <c r="E608" s="14" t="s">
        <v>1486</v>
      </c>
      <c r="F608" s="14" t="s">
        <v>40</v>
      </c>
      <c r="G608" s="14" t="s">
        <v>124</v>
      </c>
      <c r="H608" s="13">
        <v>3.0</v>
      </c>
      <c r="I608" s="14" t="s">
        <v>61</v>
      </c>
      <c r="J608" s="15" t="s">
        <v>2113</v>
      </c>
      <c r="K608" s="14" t="str">
        <f t="shared" si="1"/>
        <v>07</v>
      </c>
      <c r="L608" s="14" t="s">
        <v>2114</v>
      </c>
      <c r="M608" s="14" t="s">
        <v>2187</v>
      </c>
      <c r="N608" s="14" t="s">
        <v>2188</v>
      </c>
      <c r="O608" s="14" t="s">
        <v>64</v>
      </c>
      <c r="P608" s="14" t="s">
        <v>2189</v>
      </c>
      <c r="Q608" s="16">
        <v>46191.0</v>
      </c>
    </row>
    <row r="609">
      <c r="A609" s="13">
        <v>608.0</v>
      </c>
      <c r="B609" s="14" t="s">
        <v>557</v>
      </c>
      <c r="C609" s="14" t="s">
        <v>558</v>
      </c>
      <c r="D609" s="14" t="s">
        <v>559</v>
      </c>
      <c r="E609" s="14" t="s">
        <v>560</v>
      </c>
      <c r="F609" s="14" t="s">
        <v>40</v>
      </c>
      <c r="G609" s="14" t="s">
        <v>124</v>
      </c>
      <c r="H609" s="13">
        <v>3.0</v>
      </c>
      <c r="I609" s="14" t="s">
        <v>42</v>
      </c>
      <c r="J609" s="15" t="s">
        <v>2113</v>
      </c>
      <c r="K609" s="14" t="str">
        <f t="shared" si="1"/>
        <v>07</v>
      </c>
      <c r="L609" s="14" t="s">
        <v>2114</v>
      </c>
      <c r="M609" s="14" t="s">
        <v>2190</v>
      </c>
      <c r="N609" s="14" t="s">
        <v>2179</v>
      </c>
      <c r="O609" s="16">
        <v>46284.0</v>
      </c>
      <c r="Q609" s="16">
        <v>46175.0</v>
      </c>
    </row>
    <row r="610">
      <c r="A610" s="13">
        <v>609.0</v>
      </c>
      <c r="B610" s="14" t="s">
        <v>135</v>
      </c>
      <c r="C610" s="14" t="s">
        <v>136</v>
      </c>
      <c r="D610" s="14" t="s">
        <v>137</v>
      </c>
      <c r="E610" s="14" t="s">
        <v>138</v>
      </c>
      <c r="F610" s="14" t="s">
        <v>40</v>
      </c>
      <c r="G610" s="14" t="s">
        <v>124</v>
      </c>
      <c r="H610" s="13">
        <v>3.0</v>
      </c>
      <c r="I610" s="14" t="s">
        <v>42</v>
      </c>
      <c r="J610" s="15" t="s">
        <v>2113</v>
      </c>
      <c r="K610" s="14" t="str">
        <f t="shared" si="1"/>
        <v>07</v>
      </c>
      <c r="L610" s="14" t="s">
        <v>2114</v>
      </c>
      <c r="M610" s="14" t="s">
        <v>2191</v>
      </c>
      <c r="N610" s="14" t="s">
        <v>2192</v>
      </c>
      <c r="O610" s="16">
        <v>46304.0</v>
      </c>
      <c r="P610" s="14" t="s">
        <v>2193</v>
      </c>
      <c r="Q610" s="16">
        <v>46233.0</v>
      </c>
    </row>
    <row r="611">
      <c r="A611" s="13">
        <v>610.0</v>
      </c>
      <c r="B611" s="14" t="s">
        <v>1287</v>
      </c>
      <c r="C611" s="14" t="s">
        <v>1288</v>
      </c>
      <c r="D611" s="14" t="s">
        <v>1289</v>
      </c>
      <c r="E611" s="14" t="s">
        <v>1290</v>
      </c>
      <c r="F611" s="14" t="s">
        <v>40</v>
      </c>
      <c r="G611" s="14" t="s">
        <v>146</v>
      </c>
      <c r="H611" s="13">
        <v>3.0</v>
      </c>
      <c r="I611" s="14" t="s">
        <v>61</v>
      </c>
      <c r="J611" s="15" t="s">
        <v>2113</v>
      </c>
      <c r="K611" s="14" t="str">
        <f t="shared" si="1"/>
        <v>07</v>
      </c>
      <c r="L611" s="14" t="s">
        <v>2114</v>
      </c>
      <c r="M611" s="14" t="s">
        <v>2194</v>
      </c>
      <c r="N611" s="14" t="s">
        <v>1969</v>
      </c>
      <c r="O611" s="14" t="s">
        <v>64</v>
      </c>
      <c r="P611" s="14" t="s">
        <v>2195</v>
      </c>
      <c r="Q611" s="16">
        <v>46244.0</v>
      </c>
    </row>
    <row r="612">
      <c r="A612" s="13">
        <v>611.0</v>
      </c>
      <c r="B612" s="14" t="s">
        <v>659</v>
      </c>
      <c r="C612" s="14" t="s">
        <v>660</v>
      </c>
      <c r="D612" s="14" t="s">
        <v>661</v>
      </c>
      <c r="E612" s="14" t="s">
        <v>662</v>
      </c>
      <c r="F612" s="14" t="s">
        <v>40</v>
      </c>
      <c r="G612" s="14" t="s">
        <v>146</v>
      </c>
      <c r="H612" s="13">
        <v>3.0</v>
      </c>
      <c r="I612" s="14" t="s">
        <v>61</v>
      </c>
      <c r="J612" s="15" t="s">
        <v>2113</v>
      </c>
      <c r="K612" s="14" t="str">
        <f t="shared" si="1"/>
        <v>07</v>
      </c>
      <c r="L612" s="14" t="s">
        <v>2114</v>
      </c>
      <c r="M612" s="14" t="s">
        <v>2196</v>
      </c>
      <c r="N612" s="14" t="s">
        <v>1972</v>
      </c>
      <c r="O612" s="14" t="s">
        <v>64</v>
      </c>
      <c r="P612" s="14" t="s">
        <v>2197</v>
      </c>
      <c r="Q612" s="16">
        <v>46266.0</v>
      </c>
    </row>
    <row r="613">
      <c r="A613" s="13">
        <v>612.0</v>
      </c>
      <c r="B613" s="14" t="s">
        <v>511</v>
      </c>
      <c r="C613" s="14" t="s">
        <v>512</v>
      </c>
      <c r="D613" s="14" t="s">
        <v>513</v>
      </c>
      <c r="E613" s="14" t="s">
        <v>514</v>
      </c>
      <c r="F613" s="14" t="s">
        <v>40</v>
      </c>
      <c r="G613" s="14" t="s">
        <v>146</v>
      </c>
      <c r="H613" s="13">
        <v>3.0</v>
      </c>
      <c r="I613" s="14" t="s">
        <v>61</v>
      </c>
      <c r="J613" s="15" t="s">
        <v>2113</v>
      </c>
      <c r="K613" s="14" t="str">
        <f t="shared" si="1"/>
        <v>07</v>
      </c>
      <c r="L613" s="14" t="s">
        <v>2114</v>
      </c>
      <c r="M613" s="14" t="s">
        <v>2198</v>
      </c>
      <c r="N613" s="14" t="s">
        <v>2199</v>
      </c>
      <c r="O613" s="14" t="s">
        <v>64</v>
      </c>
      <c r="P613" s="14" t="s">
        <v>2200</v>
      </c>
      <c r="Q613" s="16">
        <v>46217.0</v>
      </c>
    </row>
    <row r="614">
      <c r="A614" s="13">
        <v>613.0</v>
      </c>
      <c r="B614" s="14" t="s">
        <v>779</v>
      </c>
      <c r="C614" s="14" t="s">
        <v>780</v>
      </c>
      <c r="D614" s="14" t="s">
        <v>781</v>
      </c>
      <c r="E614" s="14" t="s">
        <v>782</v>
      </c>
      <c r="F614" s="14" t="s">
        <v>40</v>
      </c>
      <c r="G614" s="14" t="s">
        <v>146</v>
      </c>
      <c r="H614" s="13">
        <v>3.0</v>
      </c>
      <c r="I614" s="14" t="s">
        <v>61</v>
      </c>
      <c r="J614" s="15" t="s">
        <v>2113</v>
      </c>
      <c r="K614" s="14" t="str">
        <f t="shared" si="1"/>
        <v>07</v>
      </c>
      <c r="L614" s="14" t="s">
        <v>2114</v>
      </c>
      <c r="M614" s="14" t="s">
        <v>2201</v>
      </c>
      <c r="N614" s="14" t="s">
        <v>1975</v>
      </c>
      <c r="O614" s="14" t="s">
        <v>64</v>
      </c>
      <c r="P614" s="14" t="s">
        <v>2202</v>
      </c>
      <c r="Q614" s="16">
        <v>46274.0</v>
      </c>
    </row>
    <row r="615">
      <c r="A615" s="13">
        <v>614.0</v>
      </c>
      <c r="B615" s="14" t="s">
        <v>372</v>
      </c>
      <c r="C615" s="14" t="s">
        <v>373</v>
      </c>
      <c r="D615" s="14" t="s">
        <v>374</v>
      </c>
      <c r="E615" s="14" t="s">
        <v>375</v>
      </c>
      <c r="F615" s="14" t="s">
        <v>40</v>
      </c>
      <c r="G615" s="14" t="s">
        <v>146</v>
      </c>
      <c r="H615" s="13">
        <v>3.0</v>
      </c>
      <c r="I615" s="14" t="s">
        <v>61</v>
      </c>
      <c r="J615" s="15" t="s">
        <v>2113</v>
      </c>
      <c r="K615" s="14" t="str">
        <f t="shared" si="1"/>
        <v>07</v>
      </c>
      <c r="L615" s="14" t="s">
        <v>2114</v>
      </c>
      <c r="M615" s="14" t="s">
        <v>2203</v>
      </c>
      <c r="N615" s="14" t="s">
        <v>1978</v>
      </c>
      <c r="O615" s="14" t="s">
        <v>64</v>
      </c>
      <c r="P615" s="14" t="s">
        <v>2204</v>
      </c>
      <c r="Q615" s="16">
        <v>46195.0</v>
      </c>
    </row>
    <row r="616">
      <c r="A616" s="13">
        <v>615.0</v>
      </c>
      <c r="B616" s="14" t="s">
        <v>1097</v>
      </c>
      <c r="C616" s="14" t="s">
        <v>1098</v>
      </c>
      <c r="D616" s="14" t="s">
        <v>1099</v>
      </c>
      <c r="E616" s="14" t="s">
        <v>1100</v>
      </c>
      <c r="F616" s="14" t="s">
        <v>551</v>
      </c>
      <c r="G616" s="14" t="s">
        <v>146</v>
      </c>
      <c r="H616" s="13">
        <v>3.0</v>
      </c>
      <c r="I616" s="14" t="s">
        <v>61</v>
      </c>
      <c r="J616" s="15" t="s">
        <v>2113</v>
      </c>
      <c r="K616" s="14" t="str">
        <f t="shared" si="1"/>
        <v>07</v>
      </c>
      <c r="L616" s="14" t="s">
        <v>2114</v>
      </c>
      <c r="M616" s="14" t="s">
        <v>2205</v>
      </c>
      <c r="N616" s="14" t="s">
        <v>2206</v>
      </c>
      <c r="O616" s="14" t="s">
        <v>64</v>
      </c>
      <c r="P616" s="14" t="s">
        <v>2207</v>
      </c>
      <c r="Q616" s="16">
        <v>46196.0</v>
      </c>
    </row>
    <row r="617">
      <c r="A617" s="13">
        <v>616.0</v>
      </c>
      <c r="B617" s="14" t="s">
        <v>1326</v>
      </c>
      <c r="C617" s="14" t="s">
        <v>1098</v>
      </c>
      <c r="D617" s="14" t="s">
        <v>1099</v>
      </c>
      <c r="E617" s="14" t="s">
        <v>1327</v>
      </c>
      <c r="F617" s="14" t="s">
        <v>60</v>
      </c>
      <c r="G617" s="14" t="s">
        <v>146</v>
      </c>
      <c r="H617" s="13">
        <v>3.0</v>
      </c>
      <c r="I617" s="14" t="s">
        <v>61</v>
      </c>
      <c r="J617" s="15" t="s">
        <v>2113</v>
      </c>
      <c r="K617" s="14" t="str">
        <f t="shared" si="1"/>
        <v>07</v>
      </c>
      <c r="L617" s="14" t="s">
        <v>2114</v>
      </c>
      <c r="M617" s="14" t="s">
        <v>2208</v>
      </c>
      <c r="N617" s="14" t="s">
        <v>1981</v>
      </c>
      <c r="O617" s="16">
        <v>46286.0</v>
      </c>
      <c r="P617" s="14" t="s">
        <v>2209</v>
      </c>
      <c r="Q617" s="16">
        <v>46262.0</v>
      </c>
    </row>
    <row r="618">
      <c r="A618" s="13">
        <v>617.0</v>
      </c>
      <c r="B618" s="14" t="s">
        <v>893</v>
      </c>
      <c r="C618" s="14" t="s">
        <v>894</v>
      </c>
      <c r="D618" s="14" t="s">
        <v>895</v>
      </c>
      <c r="E618" s="14" t="s">
        <v>896</v>
      </c>
      <c r="F618" s="14" t="s">
        <v>551</v>
      </c>
      <c r="G618" s="14" t="s">
        <v>146</v>
      </c>
      <c r="H618" s="13">
        <v>3.0</v>
      </c>
      <c r="I618" s="14" t="s">
        <v>61</v>
      </c>
      <c r="J618" s="15" t="s">
        <v>2113</v>
      </c>
      <c r="K618" s="14" t="str">
        <f t="shared" si="1"/>
        <v>07</v>
      </c>
      <c r="L618" s="14" t="s">
        <v>2114</v>
      </c>
      <c r="M618" s="14" t="s">
        <v>2210</v>
      </c>
      <c r="N618" s="14" t="s">
        <v>2211</v>
      </c>
      <c r="O618" s="14" t="s">
        <v>64</v>
      </c>
      <c r="P618" s="14" t="s">
        <v>2212</v>
      </c>
      <c r="Q618" s="16">
        <v>46202.0</v>
      </c>
    </row>
    <row r="619">
      <c r="A619" s="13">
        <v>618.0</v>
      </c>
      <c r="B619" s="14" t="s">
        <v>900</v>
      </c>
      <c r="C619" s="14" t="s">
        <v>901</v>
      </c>
      <c r="D619" s="14" t="s">
        <v>902</v>
      </c>
      <c r="E619" s="14" t="s">
        <v>903</v>
      </c>
      <c r="F619" s="14" t="s">
        <v>40</v>
      </c>
      <c r="G619" s="14" t="s">
        <v>146</v>
      </c>
      <c r="H619" s="13">
        <v>3.0</v>
      </c>
      <c r="I619" s="14" t="s">
        <v>61</v>
      </c>
      <c r="J619" s="15" t="s">
        <v>2113</v>
      </c>
      <c r="K619" s="14" t="str">
        <f t="shared" si="1"/>
        <v>07</v>
      </c>
      <c r="L619" s="14" t="s">
        <v>2114</v>
      </c>
      <c r="M619" s="14" t="s">
        <v>2213</v>
      </c>
      <c r="N619" s="14" t="s">
        <v>1984</v>
      </c>
      <c r="O619" s="16">
        <v>46305.0</v>
      </c>
      <c r="P619" s="14" t="s">
        <v>2214</v>
      </c>
      <c r="Q619" s="16">
        <v>46273.0</v>
      </c>
    </row>
    <row r="620">
      <c r="A620" s="13">
        <v>619.0</v>
      </c>
      <c r="B620" s="14" t="s">
        <v>907</v>
      </c>
      <c r="C620" s="14" t="s">
        <v>908</v>
      </c>
      <c r="D620" s="14" t="s">
        <v>909</v>
      </c>
      <c r="E620" s="14" t="s">
        <v>910</v>
      </c>
      <c r="F620" s="14" t="s">
        <v>40</v>
      </c>
      <c r="G620" s="14" t="s">
        <v>146</v>
      </c>
      <c r="H620" s="13">
        <v>3.0</v>
      </c>
      <c r="I620" s="14" t="s">
        <v>61</v>
      </c>
      <c r="J620" s="15" t="s">
        <v>2113</v>
      </c>
      <c r="K620" s="14" t="str">
        <f t="shared" si="1"/>
        <v>07</v>
      </c>
      <c r="L620" s="14" t="s">
        <v>2114</v>
      </c>
      <c r="M620" s="14" t="s">
        <v>2215</v>
      </c>
      <c r="N620" s="14" t="s">
        <v>1987</v>
      </c>
      <c r="O620" s="16">
        <v>46304.0</v>
      </c>
      <c r="P620" s="14" t="s">
        <v>2216</v>
      </c>
      <c r="Q620" s="16">
        <v>46266.0</v>
      </c>
    </row>
    <row r="621">
      <c r="A621" s="13">
        <v>620.0</v>
      </c>
      <c r="B621" s="14" t="s">
        <v>150</v>
      </c>
      <c r="C621" s="14" t="s">
        <v>151</v>
      </c>
      <c r="D621" s="14" t="s">
        <v>152</v>
      </c>
      <c r="E621" s="14" t="s">
        <v>153</v>
      </c>
      <c r="F621" s="14" t="s">
        <v>154</v>
      </c>
      <c r="G621" s="14" t="s">
        <v>146</v>
      </c>
      <c r="H621" s="13">
        <v>3.0</v>
      </c>
      <c r="I621" s="14" t="s">
        <v>61</v>
      </c>
      <c r="J621" s="15" t="s">
        <v>2113</v>
      </c>
      <c r="K621" s="14" t="str">
        <f t="shared" si="1"/>
        <v>07</v>
      </c>
      <c r="L621" s="14" t="s">
        <v>2114</v>
      </c>
      <c r="M621" s="14" t="s">
        <v>2217</v>
      </c>
      <c r="N621" s="14" t="s">
        <v>1990</v>
      </c>
      <c r="O621" s="14" t="s">
        <v>64</v>
      </c>
      <c r="P621" s="14" t="s">
        <v>2218</v>
      </c>
      <c r="Q621" s="16">
        <v>46239.0</v>
      </c>
    </row>
    <row r="622">
      <c r="A622" s="13">
        <v>621.0</v>
      </c>
      <c r="B622" s="14" t="s">
        <v>158</v>
      </c>
      <c r="C622" s="14" t="s">
        <v>159</v>
      </c>
      <c r="D622" s="14" t="s">
        <v>160</v>
      </c>
      <c r="E622" s="14" t="s">
        <v>161</v>
      </c>
      <c r="F622" s="14" t="s">
        <v>162</v>
      </c>
      <c r="G622" s="14" t="s">
        <v>146</v>
      </c>
      <c r="H622" s="13">
        <v>3.0</v>
      </c>
      <c r="I622" s="14" t="s">
        <v>61</v>
      </c>
      <c r="J622" s="15" t="s">
        <v>2113</v>
      </c>
      <c r="K622" s="14" t="str">
        <f t="shared" si="1"/>
        <v>07</v>
      </c>
      <c r="L622" s="14" t="s">
        <v>2114</v>
      </c>
      <c r="M622" s="14" t="s">
        <v>2219</v>
      </c>
      <c r="N622" s="14" t="s">
        <v>1993</v>
      </c>
      <c r="O622" s="14" t="s">
        <v>64</v>
      </c>
      <c r="P622" s="14" t="s">
        <v>2220</v>
      </c>
      <c r="Q622" s="16">
        <v>46275.0</v>
      </c>
    </row>
    <row r="623">
      <c r="A623" s="13">
        <v>622.0</v>
      </c>
      <c r="B623" s="14" t="s">
        <v>547</v>
      </c>
      <c r="C623" s="14" t="s">
        <v>548</v>
      </c>
      <c r="D623" s="14" t="s">
        <v>549</v>
      </c>
      <c r="E623" s="14" t="s">
        <v>550</v>
      </c>
      <c r="F623" s="14" t="s">
        <v>551</v>
      </c>
      <c r="G623" s="14" t="s">
        <v>146</v>
      </c>
      <c r="H623" s="13">
        <v>3.0</v>
      </c>
      <c r="I623" s="14" t="s">
        <v>61</v>
      </c>
      <c r="J623" s="15" t="s">
        <v>2113</v>
      </c>
      <c r="K623" s="14" t="str">
        <f t="shared" si="1"/>
        <v>07</v>
      </c>
      <c r="L623" s="14" t="s">
        <v>2114</v>
      </c>
      <c r="M623" s="14" t="s">
        <v>2221</v>
      </c>
      <c r="N623" s="14" t="s">
        <v>2222</v>
      </c>
      <c r="O623" s="14" t="s">
        <v>64</v>
      </c>
      <c r="P623" s="14" t="s">
        <v>2223</v>
      </c>
      <c r="Q623" s="16">
        <v>46225.0</v>
      </c>
    </row>
    <row r="624">
      <c r="A624" s="13">
        <v>623.0</v>
      </c>
      <c r="B624" s="14" t="s">
        <v>1331</v>
      </c>
      <c r="C624" s="14" t="s">
        <v>1332</v>
      </c>
      <c r="D624" s="14" t="s">
        <v>1333</v>
      </c>
      <c r="E624" s="14" t="s">
        <v>1334</v>
      </c>
      <c r="F624" s="14" t="s">
        <v>178</v>
      </c>
      <c r="G624" s="14" t="s">
        <v>146</v>
      </c>
      <c r="H624" s="13">
        <v>3.0</v>
      </c>
      <c r="I624" s="14" t="s">
        <v>61</v>
      </c>
      <c r="J624" s="15" t="s">
        <v>2113</v>
      </c>
      <c r="K624" s="14" t="str">
        <f t="shared" si="1"/>
        <v>07</v>
      </c>
      <c r="L624" s="14" t="s">
        <v>2114</v>
      </c>
      <c r="M624" s="14" t="s">
        <v>2224</v>
      </c>
      <c r="N624" s="14" t="s">
        <v>2222</v>
      </c>
      <c r="O624" s="14" t="s">
        <v>64</v>
      </c>
      <c r="P624" s="14" t="s">
        <v>2225</v>
      </c>
      <c r="Q624" s="16">
        <v>46213.0</v>
      </c>
    </row>
    <row r="625">
      <c r="A625" s="13">
        <v>624.0</v>
      </c>
      <c r="B625" s="14" t="s">
        <v>1338</v>
      </c>
      <c r="C625" s="14" t="s">
        <v>1339</v>
      </c>
      <c r="D625" s="14" t="s">
        <v>1340</v>
      </c>
      <c r="E625" s="14" t="s">
        <v>1341</v>
      </c>
      <c r="F625" s="14" t="s">
        <v>178</v>
      </c>
      <c r="G625" s="14" t="s">
        <v>146</v>
      </c>
      <c r="H625" s="13">
        <v>3.0</v>
      </c>
      <c r="I625" s="14" t="s">
        <v>61</v>
      </c>
      <c r="J625" s="15" t="s">
        <v>2113</v>
      </c>
      <c r="K625" s="14" t="str">
        <f t="shared" si="1"/>
        <v>07</v>
      </c>
      <c r="L625" s="14" t="s">
        <v>2114</v>
      </c>
      <c r="M625" s="14" t="s">
        <v>2226</v>
      </c>
      <c r="N625" s="14" t="s">
        <v>2222</v>
      </c>
      <c r="O625" s="14" t="s">
        <v>64</v>
      </c>
      <c r="P625" s="14" t="s">
        <v>2227</v>
      </c>
      <c r="Q625" s="16">
        <v>46241.0</v>
      </c>
    </row>
    <row r="626">
      <c r="A626" s="13">
        <v>625.0</v>
      </c>
      <c r="B626" s="14" t="s">
        <v>174</v>
      </c>
      <c r="C626" s="14" t="s">
        <v>175</v>
      </c>
      <c r="D626" s="14" t="s">
        <v>176</v>
      </c>
      <c r="E626" s="14" t="s">
        <v>177</v>
      </c>
      <c r="F626" s="14" t="s">
        <v>178</v>
      </c>
      <c r="G626" s="14" t="s">
        <v>146</v>
      </c>
      <c r="H626" s="13">
        <v>3.0</v>
      </c>
      <c r="I626" s="14" t="s">
        <v>42</v>
      </c>
      <c r="J626" s="15" t="s">
        <v>2113</v>
      </c>
      <c r="K626" s="14" t="str">
        <f t="shared" si="1"/>
        <v>07</v>
      </c>
      <c r="L626" s="14" t="s">
        <v>2114</v>
      </c>
      <c r="M626" s="14" t="s">
        <v>2228</v>
      </c>
      <c r="N626" s="14" t="s">
        <v>1996</v>
      </c>
      <c r="O626" s="16">
        <v>46297.0</v>
      </c>
      <c r="Q626" s="16">
        <v>46195.0</v>
      </c>
    </row>
    <row r="627">
      <c r="A627" s="13">
        <v>626.0</v>
      </c>
      <c r="B627" s="14" t="s">
        <v>715</v>
      </c>
      <c r="C627" s="14" t="s">
        <v>716</v>
      </c>
      <c r="D627" s="14" t="s">
        <v>717</v>
      </c>
      <c r="E627" s="14" t="s">
        <v>718</v>
      </c>
      <c r="F627" s="14" t="s">
        <v>178</v>
      </c>
      <c r="G627" s="14" t="s">
        <v>146</v>
      </c>
      <c r="H627" s="13">
        <v>3.0</v>
      </c>
      <c r="I627" s="14" t="s">
        <v>42</v>
      </c>
      <c r="J627" s="15" t="s">
        <v>2113</v>
      </c>
      <c r="K627" s="14" t="str">
        <f t="shared" si="1"/>
        <v>07</v>
      </c>
      <c r="L627" s="14" t="s">
        <v>2114</v>
      </c>
      <c r="M627" s="14" t="s">
        <v>2229</v>
      </c>
      <c r="N627" s="14" t="s">
        <v>2222</v>
      </c>
      <c r="O627" s="16">
        <v>46304.0</v>
      </c>
      <c r="P627" s="14" t="s">
        <v>2230</v>
      </c>
      <c r="Q627" s="16">
        <v>46205.0</v>
      </c>
    </row>
    <row r="628">
      <c r="A628" s="13">
        <v>627.0</v>
      </c>
      <c r="B628" s="14" t="s">
        <v>181</v>
      </c>
      <c r="C628" s="14" t="s">
        <v>182</v>
      </c>
      <c r="D628" s="14" t="s">
        <v>183</v>
      </c>
      <c r="E628" s="14" t="s">
        <v>184</v>
      </c>
      <c r="F628" s="14" t="s">
        <v>40</v>
      </c>
      <c r="G628" s="14" t="s">
        <v>146</v>
      </c>
      <c r="H628" s="13">
        <v>3.0</v>
      </c>
      <c r="I628" s="14" t="s">
        <v>42</v>
      </c>
      <c r="J628" s="15" t="s">
        <v>2113</v>
      </c>
      <c r="K628" s="14" t="str">
        <f t="shared" si="1"/>
        <v>07</v>
      </c>
      <c r="L628" s="14" t="s">
        <v>2114</v>
      </c>
      <c r="M628" s="14" t="s">
        <v>2231</v>
      </c>
      <c r="N628" s="14" t="s">
        <v>1998</v>
      </c>
      <c r="O628" s="16">
        <v>46304.0</v>
      </c>
      <c r="P628" s="14" t="s">
        <v>2232</v>
      </c>
      <c r="Q628" s="16">
        <v>46198.0</v>
      </c>
    </row>
    <row r="629">
      <c r="A629" s="13">
        <v>628.0</v>
      </c>
      <c r="B629" s="14" t="s">
        <v>1529</v>
      </c>
      <c r="C629" s="14" t="s">
        <v>1530</v>
      </c>
      <c r="D629" s="14" t="s">
        <v>1531</v>
      </c>
      <c r="E629" s="14" t="s">
        <v>1532</v>
      </c>
      <c r="F629" s="14" t="s">
        <v>60</v>
      </c>
      <c r="G629" s="14" t="s">
        <v>146</v>
      </c>
      <c r="H629" s="13">
        <v>3.0</v>
      </c>
      <c r="I629" s="14" t="s">
        <v>61</v>
      </c>
      <c r="J629" s="15" t="s">
        <v>2113</v>
      </c>
      <c r="K629" s="14" t="str">
        <f t="shared" si="1"/>
        <v>07</v>
      </c>
      <c r="L629" s="14" t="s">
        <v>2114</v>
      </c>
      <c r="M629" s="14" t="s">
        <v>2233</v>
      </c>
      <c r="N629" s="14" t="s">
        <v>2234</v>
      </c>
      <c r="O629" s="14" t="s">
        <v>64</v>
      </c>
      <c r="P629" s="14" t="s">
        <v>2235</v>
      </c>
      <c r="Q629" s="16">
        <v>46206.0</v>
      </c>
    </row>
    <row r="630">
      <c r="A630" s="13">
        <v>629.0</v>
      </c>
      <c r="B630" s="14" t="s">
        <v>1895</v>
      </c>
      <c r="C630" s="14" t="s">
        <v>1896</v>
      </c>
      <c r="D630" s="14" t="s">
        <v>1897</v>
      </c>
      <c r="E630" s="14" t="s">
        <v>1898</v>
      </c>
      <c r="F630" s="14" t="s">
        <v>162</v>
      </c>
      <c r="G630" s="14" t="s">
        <v>146</v>
      </c>
      <c r="H630" s="13">
        <v>3.0</v>
      </c>
      <c r="I630" s="14" t="s">
        <v>61</v>
      </c>
      <c r="J630" s="15" t="s">
        <v>2113</v>
      </c>
      <c r="K630" s="14" t="str">
        <f t="shared" si="1"/>
        <v>07</v>
      </c>
      <c r="L630" s="14" t="s">
        <v>2114</v>
      </c>
      <c r="M630" s="14" t="s">
        <v>2236</v>
      </c>
      <c r="N630" s="14" t="s">
        <v>2237</v>
      </c>
      <c r="O630" s="14" t="s">
        <v>64</v>
      </c>
      <c r="P630" s="14" t="s">
        <v>2238</v>
      </c>
      <c r="Q630" s="16">
        <v>46206.0</v>
      </c>
    </row>
    <row r="631">
      <c r="A631" s="13">
        <v>630.0</v>
      </c>
      <c r="B631" s="14" t="s">
        <v>723</v>
      </c>
      <c r="C631" s="14" t="s">
        <v>724</v>
      </c>
      <c r="D631" s="14" t="s">
        <v>725</v>
      </c>
      <c r="E631" s="14" t="s">
        <v>726</v>
      </c>
      <c r="F631" s="14" t="s">
        <v>162</v>
      </c>
      <c r="G631" s="14" t="s">
        <v>146</v>
      </c>
      <c r="H631" s="13">
        <v>3.0</v>
      </c>
      <c r="I631" s="14" t="s">
        <v>42</v>
      </c>
      <c r="J631" s="15" t="s">
        <v>2113</v>
      </c>
      <c r="K631" s="14" t="str">
        <f t="shared" si="1"/>
        <v>07</v>
      </c>
      <c r="L631" s="14" t="s">
        <v>2114</v>
      </c>
      <c r="M631" s="14" t="s">
        <v>2239</v>
      </c>
      <c r="N631" s="14" t="s">
        <v>2001</v>
      </c>
      <c r="O631" s="16">
        <v>46310.0</v>
      </c>
      <c r="Q631" s="16">
        <v>46198.0</v>
      </c>
    </row>
    <row r="632">
      <c r="A632" s="13">
        <v>631.0</v>
      </c>
      <c r="B632" s="14" t="s">
        <v>1538</v>
      </c>
      <c r="C632" s="14" t="s">
        <v>1539</v>
      </c>
      <c r="D632" s="14" t="s">
        <v>1540</v>
      </c>
      <c r="E632" s="14" t="s">
        <v>1541</v>
      </c>
      <c r="F632" s="14" t="s">
        <v>60</v>
      </c>
      <c r="G632" s="14" t="s">
        <v>146</v>
      </c>
      <c r="H632" s="13">
        <v>3.0</v>
      </c>
      <c r="I632" s="14" t="s">
        <v>61</v>
      </c>
      <c r="J632" s="15" t="s">
        <v>2113</v>
      </c>
      <c r="K632" s="14" t="str">
        <f t="shared" si="1"/>
        <v>07</v>
      </c>
      <c r="L632" s="14" t="s">
        <v>2114</v>
      </c>
      <c r="M632" s="14" t="s">
        <v>2240</v>
      </c>
      <c r="N632" s="14" t="s">
        <v>2241</v>
      </c>
      <c r="O632" s="14" t="s">
        <v>64</v>
      </c>
      <c r="P632" s="14" t="s">
        <v>2242</v>
      </c>
      <c r="Q632" s="16">
        <v>46206.0</v>
      </c>
    </row>
    <row r="633">
      <c r="A633" s="13">
        <v>632.0</v>
      </c>
      <c r="B633" s="14" t="s">
        <v>1545</v>
      </c>
      <c r="C633" s="14" t="s">
        <v>1546</v>
      </c>
      <c r="D633" s="14" t="s">
        <v>1547</v>
      </c>
      <c r="E633" s="14" t="s">
        <v>1548</v>
      </c>
      <c r="F633" s="14" t="s">
        <v>60</v>
      </c>
      <c r="G633" s="14" t="s">
        <v>146</v>
      </c>
      <c r="H633" s="13">
        <v>3.0</v>
      </c>
      <c r="I633" s="14" t="s">
        <v>61</v>
      </c>
      <c r="J633" s="15" t="s">
        <v>2113</v>
      </c>
      <c r="K633" s="14" t="str">
        <f t="shared" si="1"/>
        <v>07</v>
      </c>
      <c r="L633" s="14" t="s">
        <v>2114</v>
      </c>
      <c r="M633" s="14" t="s">
        <v>2243</v>
      </c>
      <c r="N633" s="14" t="s">
        <v>2244</v>
      </c>
      <c r="O633" s="14" t="s">
        <v>64</v>
      </c>
      <c r="P633" s="14" t="s">
        <v>2245</v>
      </c>
      <c r="Q633" s="16">
        <v>46233.0</v>
      </c>
    </row>
    <row r="634">
      <c r="A634" s="13">
        <v>633.0</v>
      </c>
      <c r="B634" s="14" t="s">
        <v>1552</v>
      </c>
      <c r="C634" s="14" t="s">
        <v>1553</v>
      </c>
      <c r="D634" s="14" t="s">
        <v>1554</v>
      </c>
      <c r="E634" s="14" t="s">
        <v>1555</v>
      </c>
      <c r="F634" s="14" t="s">
        <v>60</v>
      </c>
      <c r="G634" s="14" t="s">
        <v>146</v>
      </c>
      <c r="H634" s="13">
        <v>3.0</v>
      </c>
      <c r="I634" s="14" t="s">
        <v>61</v>
      </c>
      <c r="J634" s="15" t="s">
        <v>2113</v>
      </c>
      <c r="K634" s="14" t="str">
        <f t="shared" si="1"/>
        <v>07</v>
      </c>
      <c r="L634" s="14" t="s">
        <v>2114</v>
      </c>
      <c r="M634" s="14" t="s">
        <v>2246</v>
      </c>
      <c r="N634" s="14" t="s">
        <v>2247</v>
      </c>
      <c r="O634" s="14" t="s">
        <v>64</v>
      </c>
      <c r="P634" s="14" t="s">
        <v>2248</v>
      </c>
      <c r="Q634" s="16">
        <v>46213.0</v>
      </c>
    </row>
    <row r="635">
      <c r="A635" s="13">
        <v>634.0</v>
      </c>
      <c r="B635" s="14" t="s">
        <v>1552</v>
      </c>
      <c r="C635" s="14" t="s">
        <v>1553</v>
      </c>
      <c r="D635" s="14" t="s">
        <v>1554</v>
      </c>
      <c r="E635" s="14" t="s">
        <v>1559</v>
      </c>
      <c r="F635" s="14" t="s">
        <v>178</v>
      </c>
      <c r="G635" s="14" t="s">
        <v>146</v>
      </c>
      <c r="H635" s="13">
        <v>3.0</v>
      </c>
      <c r="I635" s="14" t="s">
        <v>61</v>
      </c>
      <c r="J635" s="15" t="s">
        <v>2113</v>
      </c>
      <c r="K635" s="14" t="str">
        <f t="shared" si="1"/>
        <v>07</v>
      </c>
      <c r="L635" s="14" t="s">
        <v>2114</v>
      </c>
      <c r="M635" s="14" t="s">
        <v>2249</v>
      </c>
      <c r="N635" s="14" t="s">
        <v>2247</v>
      </c>
      <c r="O635" s="14" t="s">
        <v>64</v>
      </c>
      <c r="P635" s="14" t="s">
        <v>2248</v>
      </c>
      <c r="Q635" s="16">
        <v>46213.0</v>
      </c>
    </row>
    <row r="636">
      <c r="A636" s="13">
        <v>635.0</v>
      </c>
      <c r="B636" s="14" t="s">
        <v>379</v>
      </c>
      <c r="C636" s="14" t="s">
        <v>380</v>
      </c>
      <c r="D636" s="14" t="s">
        <v>381</v>
      </c>
      <c r="E636" s="14" t="s">
        <v>382</v>
      </c>
      <c r="F636" s="14" t="s">
        <v>60</v>
      </c>
      <c r="G636" s="14" t="s">
        <v>146</v>
      </c>
      <c r="H636" s="13">
        <v>3.0</v>
      </c>
      <c r="I636" s="14" t="s">
        <v>42</v>
      </c>
      <c r="J636" s="15" t="s">
        <v>2113</v>
      </c>
      <c r="K636" s="14" t="str">
        <f t="shared" si="1"/>
        <v>07</v>
      </c>
      <c r="L636" s="14" t="s">
        <v>2114</v>
      </c>
      <c r="M636" s="14" t="s">
        <v>2250</v>
      </c>
      <c r="N636" s="14" t="s">
        <v>2251</v>
      </c>
      <c r="O636" s="16">
        <v>46310.0</v>
      </c>
      <c r="Q636" s="16">
        <v>46205.0</v>
      </c>
    </row>
    <row r="637">
      <c r="A637" s="13">
        <v>636.0</v>
      </c>
      <c r="B637" s="14" t="s">
        <v>1203</v>
      </c>
      <c r="C637" s="14" t="s">
        <v>1204</v>
      </c>
      <c r="D637" s="14" t="s">
        <v>1205</v>
      </c>
      <c r="E637" s="14" t="s">
        <v>1206</v>
      </c>
      <c r="F637" s="14" t="s">
        <v>40</v>
      </c>
      <c r="G637" s="14" t="s">
        <v>191</v>
      </c>
      <c r="H637" s="13">
        <v>3.0</v>
      </c>
      <c r="I637" s="14" t="s">
        <v>61</v>
      </c>
      <c r="J637" s="15" t="s">
        <v>2113</v>
      </c>
      <c r="K637" s="14" t="str">
        <f t="shared" si="1"/>
        <v>07</v>
      </c>
      <c r="L637" s="14" t="s">
        <v>2114</v>
      </c>
      <c r="M637" s="14" t="s">
        <v>2252</v>
      </c>
      <c r="N637" s="14" t="s">
        <v>1918</v>
      </c>
      <c r="O637" s="14" t="s">
        <v>64</v>
      </c>
      <c r="P637" s="14" t="s">
        <v>2253</v>
      </c>
      <c r="Q637" s="16">
        <v>46221.0</v>
      </c>
    </row>
    <row r="638">
      <c r="A638" s="13">
        <v>637.0</v>
      </c>
      <c r="B638" s="14" t="s">
        <v>1170</v>
      </c>
      <c r="C638" s="14" t="s">
        <v>1171</v>
      </c>
      <c r="D638" s="14" t="s">
        <v>1172</v>
      </c>
      <c r="E638" s="14" t="s">
        <v>1173</v>
      </c>
      <c r="F638" s="14" t="s">
        <v>178</v>
      </c>
      <c r="G638" s="14" t="s">
        <v>191</v>
      </c>
      <c r="H638" s="13">
        <v>3.0</v>
      </c>
      <c r="I638" s="14" t="s">
        <v>61</v>
      </c>
      <c r="J638" s="15" t="s">
        <v>2113</v>
      </c>
      <c r="K638" s="14" t="str">
        <f t="shared" si="1"/>
        <v>07</v>
      </c>
      <c r="L638" s="14" t="s">
        <v>2114</v>
      </c>
      <c r="M638" s="14" t="s">
        <v>2254</v>
      </c>
      <c r="N638" s="14" t="s">
        <v>2255</v>
      </c>
      <c r="O638" s="14" t="s">
        <v>64</v>
      </c>
      <c r="P638" s="14" t="s">
        <v>2256</v>
      </c>
      <c r="Q638" s="16">
        <v>46279.0</v>
      </c>
    </row>
    <row r="639">
      <c r="A639" s="13">
        <v>638.0</v>
      </c>
      <c r="B639" s="14" t="s">
        <v>392</v>
      </c>
      <c r="C639" s="14" t="s">
        <v>393</v>
      </c>
      <c r="D639" s="14" t="s">
        <v>394</v>
      </c>
      <c r="E639" s="14" t="s">
        <v>395</v>
      </c>
      <c r="F639" s="14" t="s">
        <v>40</v>
      </c>
      <c r="G639" s="14" t="s">
        <v>191</v>
      </c>
      <c r="H639" s="13">
        <v>3.0</v>
      </c>
      <c r="I639" s="14" t="s">
        <v>42</v>
      </c>
      <c r="J639" s="15" t="s">
        <v>2113</v>
      </c>
      <c r="K639" s="14" t="str">
        <f t="shared" si="1"/>
        <v>07</v>
      </c>
      <c r="L639" s="14" t="s">
        <v>2114</v>
      </c>
      <c r="M639" s="14" t="s">
        <v>2257</v>
      </c>
      <c r="N639" s="14" t="s">
        <v>2007</v>
      </c>
      <c r="O639" s="16">
        <v>46299.0</v>
      </c>
      <c r="P639" s="14" t="s">
        <v>2258</v>
      </c>
      <c r="Q639" s="16">
        <v>46287.0</v>
      </c>
    </row>
    <row r="640">
      <c r="A640" s="13">
        <v>639.0</v>
      </c>
      <c r="B640" s="14" t="s">
        <v>187</v>
      </c>
      <c r="C640" s="14" t="s">
        <v>188</v>
      </c>
      <c r="D640" s="14" t="s">
        <v>189</v>
      </c>
      <c r="E640" s="14" t="s">
        <v>190</v>
      </c>
      <c r="F640" s="14" t="s">
        <v>40</v>
      </c>
      <c r="G640" s="14" t="s">
        <v>191</v>
      </c>
      <c r="H640" s="13">
        <v>3.0</v>
      </c>
      <c r="I640" s="14" t="s">
        <v>61</v>
      </c>
      <c r="J640" s="15" t="s">
        <v>2113</v>
      </c>
      <c r="K640" s="14" t="str">
        <f t="shared" si="1"/>
        <v>07</v>
      </c>
      <c r="L640" s="14" t="s">
        <v>2114</v>
      </c>
      <c r="M640" s="14" t="s">
        <v>2259</v>
      </c>
      <c r="N640" s="14" t="s">
        <v>2260</v>
      </c>
      <c r="O640" s="14" t="s">
        <v>64</v>
      </c>
      <c r="P640" s="14" t="s">
        <v>2261</v>
      </c>
      <c r="Q640" s="16">
        <v>46248.0</v>
      </c>
    </row>
    <row r="641">
      <c r="A641" s="13">
        <v>640.0</v>
      </c>
      <c r="B641" s="14" t="s">
        <v>196</v>
      </c>
      <c r="C641" s="14" t="s">
        <v>197</v>
      </c>
      <c r="D641" s="14" t="s">
        <v>198</v>
      </c>
      <c r="E641" s="14" t="s">
        <v>734</v>
      </c>
      <c r="F641" s="14" t="s">
        <v>527</v>
      </c>
      <c r="G641" s="14" t="s">
        <v>191</v>
      </c>
      <c r="H641" s="13">
        <v>3.0</v>
      </c>
      <c r="I641" s="14" t="s">
        <v>42</v>
      </c>
      <c r="J641" s="15" t="s">
        <v>2113</v>
      </c>
      <c r="K641" s="14" t="str">
        <f t="shared" si="1"/>
        <v>07</v>
      </c>
      <c r="L641" s="14" t="s">
        <v>2114</v>
      </c>
      <c r="M641" s="14" t="s">
        <v>2262</v>
      </c>
      <c r="N641" s="14" t="s">
        <v>1921</v>
      </c>
      <c r="O641" s="16">
        <v>46289.0</v>
      </c>
      <c r="Q641" s="16">
        <v>46217.0</v>
      </c>
    </row>
    <row r="642">
      <c r="A642" s="13">
        <v>641.0</v>
      </c>
      <c r="B642" s="14" t="s">
        <v>196</v>
      </c>
      <c r="C642" s="14" t="s">
        <v>197</v>
      </c>
      <c r="D642" s="14" t="s">
        <v>198</v>
      </c>
      <c r="E642" s="14" t="s">
        <v>1006</v>
      </c>
      <c r="F642" s="14" t="s">
        <v>543</v>
      </c>
      <c r="G642" s="14" t="s">
        <v>191</v>
      </c>
      <c r="H642" s="13">
        <v>3.0</v>
      </c>
      <c r="I642" s="14" t="s">
        <v>42</v>
      </c>
      <c r="J642" s="15" t="s">
        <v>2113</v>
      </c>
      <c r="K642" s="14" t="str">
        <f t="shared" si="1"/>
        <v>07</v>
      </c>
      <c r="L642" s="14" t="s">
        <v>2114</v>
      </c>
      <c r="M642" s="14" t="s">
        <v>2263</v>
      </c>
      <c r="N642" s="14" t="s">
        <v>2010</v>
      </c>
      <c r="O642" s="16">
        <v>46294.0</v>
      </c>
      <c r="Q642" s="16">
        <v>46217.0</v>
      </c>
    </row>
    <row r="643">
      <c r="A643" s="13">
        <v>642.0</v>
      </c>
      <c r="B643" s="14" t="s">
        <v>196</v>
      </c>
      <c r="C643" s="14" t="s">
        <v>197</v>
      </c>
      <c r="D643" s="14" t="s">
        <v>198</v>
      </c>
      <c r="E643" s="14" t="s">
        <v>488</v>
      </c>
      <c r="F643" s="14" t="s">
        <v>489</v>
      </c>
      <c r="G643" s="14" t="s">
        <v>191</v>
      </c>
      <c r="H643" s="13">
        <v>3.0</v>
      </c>
      <c r="I643" s="14" t="s">
        <v>42</v>
      </c>
      <c r="J643" s="15" t="s">
        <v>2113</v>
      </c>
      <c r="K643" s="14" t="str">
        <f t="shared" si="1"/>
        <v>07</v>
      </c>
      <c r="L643" s="14" t="s">
        <v>2114</v>
      </c>
      <c r="M643" s="14" t="s">
        <v>2264</v>
      </c>
      <c r="N643" s="14" t="s">
        <v>2012</v>
      </c>
      <c r="O643" s="16">
        <v>46289.0</v>
      </c>
      <c r="Q643" s="16">
        <v>46217.0</v>
      </c>
    </row>
    <row r="644">
      <c r="A644" s="13">
        <v>643.0</v>
      </c>
      <c r="B644" s="14" t="s">
        <v>2013</v>
      </c>
      <c r="C644" s="14" t="s">
        <v>2014</v>
      </c>
      <c r="D644" s="14" t="s">
        <v>2015</v>
      </c>
      <c r="E644" s="14" t="s">
        <v>2016</v>
      </c>
      <c r="F644" s="14" t="s">
        <v>207</v>
      </c>
      <c r="G644" s="14" t="s">
        <v>191</v>
      </c>
      <c r="H644" s="13">
        <v>3.0</v>
      </c>
      <c r="I644" s="14" t="s">
        <v>61</v>
      </c>
      <c r="J644" s="15" t="s">
        <v>2113</v>
      </c>
      <c r="K644" s="14" t="str">
        <f t="shared" si="1"/>
        <v>07</v>
      </c>
      <c r="L644" s="14" t="s">
        <v>2114</v>
      </c>
      <c r="M644" s="14" t="s">
        <v>2265</v>
      </c>
      <c r="N644" s="14" t="s">
        <v>2018</v>
      </c>
      <c r="O644" s="14" t="s">
        <v>64</v>
      </c>
      <c r="P644" s="14" t="s">
        <v>2266</v>
      </c>
      <c r="Q644" s="16">
        <v>46258.0</v>
      </c>
    </row>
    <row r="645">
      <c r="A645" s="13">
        <v>644.0</v>
      </c>
      <c r="B645" s="14" t="s">
        <v>1758</v>
      </c>
      <c r="C645" s="14" t="s">
        <v>1759</v>
      </c>
      <c r="D645" s="14" t="s">
        <v>1760</v>
      </c>
      <c r="E645" s="14" t="s">
        <v>1761</v>
      </c>
      <c r="F645" s="14" t="s">
        <v>154</v>
      </c>
      <c r="G645" s="14" t="s">
        <v>191</v>
      </c>
      <c r="H645" s="13">
        <v>3.0</v>
      </c>
      <c r="I645" s="14" t="s">
        <v>61</v>
      </c>
      <c r="J645" s="15" t="s">
        <v>2113</v>
      </c>
      <c r="K645" s="14" t="str">
        <f t="shared" si="1"/>
        <v>07</v>
      </c>
      <c r="L645" s="14" t="s">
        <v>2114</v>
      </c>
      <c r="M645" s="14" t="s">
        <v>2267</v>
      </c>
      <c r="N645" s="14" t="s">
        <v>2021</v>
      </c>
      <c r="O645" s="14" t="s">
        <v>64</v>
      </c>
      <c r="P645" s="14" t="s">
        <v>2268</v>
      </c>
      <c r="Q645" s="16">
        <v>46217.0</v>
      </c>
    </row>
    <row r="646">
      <c r="A646" s="13">
        <v>645.0</v>
      </c>
      <c r="B646" s="14" t="s">
        <v>786</v>
      </c>
      <c r="C646" s="14" t="s">
        <v>787</v>
      </c>
      <c r="D646" s="14" t="s">
        <v>788</v>
      </c>
      <c r="E646" s="14" t="s">
        <v>789</v>
      </c>
      <c r="F646" s="14" t="s">
        <v>207</v>
      </c>
      <c r="G646" s="14" t="s">
        <v>191</v>
      </c>
      <c r="H646" s="13">
        <v>3.0</v>
      </c>
      <c r="I646" s="14" t="s">
        <v>42</v>
      </c>
      <c r="J646" s="15" t="s">
        <v>2113</v>
      </c>
      <c r="K646" s="14" t="str">
        <f t="shared" si="1"/>
        <v>07</v>
      </c>
      <c r="L646" s="14" t="s">
        <v>2114</v>
      </c>
      <c r="M646" s="14" t="s">
        <v>2269</v>
      </c>
      <c r="N646" s="14" t="s">
        <v>2024</v>
      </c>
      <c r="O646" s="16">
        <v>46381.0</v>
      </c>
      <c r="Q646" s="16">
        <v>46217.0</v>
      </c>
    </row>
    <row r="647">
      <c r="A647" s="13">
        <v>646.0</v>
      </c>
      <c r="B647" s="14" t="s">
        <v>1350</v>
      </c>
      <c r="C647" s="14" t="s">
        <v>1351</v>
      </c>
      <c r="D647" s="14" t="s">
        <v>1352</v>
      </c>
      <c r="E647" s="14" t="s">
        <v>1353</v>
      </c>
      <c r="F647" s="14" t="s">
        <v>154</v>
      </c>
      <c r="G647" s="14" t="s">
        <v>191</v>
      </c>
      <c r="H647" s="13">
        <v>3.0</v>
      </c>
      <c r="I647" s="14" t="s">
        <v>61</v>
      </c>
      <c r="J647" s="15" t="s">
        <v>2113</v>
      </c>
      <c r="K647" s="14" t="str">
        <f t="shared" si="1"/>
        <v>07</v>
      </c>
      <c r="L647" s="14" t="s">
        <v>2114</v>
      </c>
      <c r="M647" s="14" t="s">
        <v>2270</v>
      </c>
      <c r="N647" s="14" t="s">
        <v>2271</v>
      </c>
      <c r="O647" s="16">
        <v>46290.0</v>
      </c>
      <c r="P647" s="14" t="s">
        <v>2272</v>
      </c>
      <c r="Q647" s="16">
        <v>46280.0</v>
      </c>
    </row>
    <row r="648">
      <c r="A648" s="13">
        <v>647.0</v>
      </c>
      <c r="B648" s="14" t="s">
        <v>567</v>
      </c>
      <c r="C648" s="14" t="s">
        <v>568</v>
      </c>
      <c r="D648" s="14" t="s">
        <v>569</v>
      </c>
      <c r="E648" s="14" t="s">
        <v>570</v>
      </c>
      <c r="F648" s="14" t="s">
        <v>489</v>
      </c>
      <c r="G648" s="14" t="s">
        <v>191</v>
      </c>
      <c r="H648" s="13">
        <v>3.0</v>
      </c>
      <c r="I648" s="14" t="s">
        <v>61</v>
      </c>
      <c r="J648" s="15" t="s">
        <v>2113</v>
      </c>
      <c r="K648" s="14" t="str">
        <f t="shared" si="1"/>
        <v>07</v>
      </c>
      <c r="L648" s="14" t="s">
        <v>2114</v>
      </c>
      <c r="M648" s="14" t="s">
        <v>2273</v>
      </c>
      <c r="N648" s="14" t="s">
        <v>2026</v>
      </c>
      <c r="O648" s="14" t="s">
        <v>64</v>
      </c>
      <c r="P648" s="14" t="s">
        <v>2027</v>
      </c>
      <c r="Q648" s="16">
        <v>46247.0</v>
      </c>
    </row>
    <row r="649">
      <c r="A649" s="13">
        <v>648.0</v>
      </c>
      <c r="B649" s="14" t="s">
        <v>1592</v>
      </c>
      <c r="C649" s="14" t="s">
        <v>1593</v>
      </c>
      <c r="D649" s="14" t="s">
        <v>1594</v>
      </c>
      <c r="E649" s="14" t="s">
        <v>1595</v>
      </c>
      <c r="F649" s="14" t="s">
        <v>207</v>
      </c>
      <c r="G649" s="14" t="s">
        <v>191</v>
      </c>
      <c r="H649" s="13">
        <v>3.0</v>
      </c>
      <c r="I649" s="14" t="s">
        <v>42</v>
      </c>
      <c r="J649" s="15" t="s">
        <v>2113</v>
      </c>
      <c r="K649" s="14" t="str">
        <f t="shared" si="1"/>
        <v>07</v>
      </c>
      <c r="L649" s="14" t="s">
        <v>2114</v>
      </c>
      <c r="M649" s="14" t="s">
        <v>2274</v>
      </c>
      <c r="N649" s="14" t="s">
        <v>2275</v>
      </c>
      <c r="O649" s="16">
        <v>46297.0</v>
      </c>
      <c r="P649" s="14" t="s">
        <v>2276</v>
      </c>
      <c r="Q649" s="16">
        <v>46287.0</v>
      </c>
    </row>
    <row r="650">
      <c r="A650" s="13">
        <v>649.0</v>
      </c>
      <c r="B650" s="14" t="s">
        <v>203</v>
      </c>
      <c r="C650" s="14" t="s">
        <v>204</v>
      </c>
      <c r="D650" s="14" t="s">
        <v>205</v>
      </c>
      <c r="E650" s="14" t="s">
        <v>206</v>
      </c>
      <c r="F650" s="14" t="s">
        <v>207</v>
      </c>
      <c r="G650" s="14" t="s">
        <v>191</v>
      </c>
      <c r="H650" s="13">
        <v>3.0</v>
      </c>
      <c r="I650" s="14" t="s">
        <v>61</v>
      </c>
      <c r="J650" s="15" t="s">
        <v>2113</v>
      </c>
      <c r="K650" s="14" t="str">
        <f t="shared" si="1"/>
        <v>07</v>
      </c>
      <c r="L650" s="14" t="s">
        <v>2114</v>
      </c>
      <c r="M650" s="14" t="s">
        <v>2277</v>
      </c>
      <c r="N650" s="14" t="s">
        <v>2035</v>
      </c>
      <c r="O650" s="14" t="s">
        <v>64</v>
      </c>
      <c r="P650" s="14" t="s">
        <v>2036</v>
      </c>
      <c r="Q650" s="16">
        <v>46283.0</v>
      </c>
    </row>
    <row r="651">
      <c r="A651" s="13">
        <v>650.0</v>
      </c>
      <c r="B651" s="14" t="s">
        <v>211</v>
      </c>
      <c r="C651" s="14" t="s">
        <v>212</v>
      </c>
      <c r="D651" s="14" t="s">
        <v>213</v>
      </c>
      <c r="E651" s="14" t="s">
        <v>214</v>
      </c>
      <c r="F651" s="14" t="s">
        <v>60</v>
      </c>
      <c r="G651" s="14" t="s">
        <v>191</v>
      </c>
      <c r="H651" s="13">
        <v>3.0</v>
      </c>
      <c r="I651" s="14" t="s">
        <v>42</v>
      </c>
      <c r="J651" s="15" t="s">
        <v>2113</v>
      </c>
      <c r="K651" s="14" t="str">
        <f t="shared" si="1"/>
        <v>07</v>
      </c>
      <c r="L651" s="14" t="s">
        <v>2114</v>
      </c>
      <c r="M651" s="14" t="s">
        <v>2278</v>
      </c>
      <c r="N651" s="14" t="s">
        <v>2279</v>
      </c>
      <c r="O651" s="16">
        <v>46290.0</v>
      </c>
      <c r="Q651" s="16">
        <v>46224.0</v>
      </c>
    </row>
    <row r="652">
      <c r="A652" s="13">
        <v>651.0</v>
      </c>
      <c r="B652" s="14" t="s">
        <v>632</v>
      </c>
      <c r="C652" s="14" t="s">
        <v>633</v>
      </c>
      <c r="D652" s="14" t="s">
        <v>634</v>
      </c>
      <c r="E652" s="14" t="s">
        <v>635</v>
      </c>
      <c r="F652" s="14" t="s">
        <v>60</v>
      </c>
      <c r="G652" s="14" t="s">
        <v>191</v>
      </c>
      <c r="H652" s="13">
        <v>3.0</v>
      </c>
      <c r="I652" s="14" t="s">
        <v>42</v>
      </c>
      <c r="J652" s="15" t="s">
        <v>2113</v>
      </c>
      <c r="K652" s="14" t="str">
        <f t="shared" si="1"/>
        <v>07</v>
      </c>
      <c r="L652" s="14" t="s">
        <v>2114</v>
      </c>
      <c r="M652" s="14" t="s">
        <v>2280</v>
      </c>
      <c r="N652" s="14" t="s">
        <v>2281</v>
      </c>
      <c r="O652" s="16">
        <v>46290.0</v>
      </c>
      <c r="Q652" s="16">
        <v>46224.0</v>
      </c>
    </row>
    <row r="653">
      <c r="A653" s="13">
        <v>652.0</v>
      </c>
      <c r="B653" s="14" t="s">
        <v>929</v>
      </c>
      <c r="C653" s="14" t="s">
        <v>930</v>
      </c>
      <c r="D653" s="14" t="s">
        <v>931</v>
      </c>
      <c r="E653" s="14" t="s">
        <v>932</v>
      </c>
      <c r="F653" s="14" t="s">
        <v>40</v>
      </c>
      <c r="G653" s="14" t="s">
        <v>222</v>
      </c>
      <c r="H653" s="13">
        <v>3.0</v>
      </c>
      <c r="I653" s="14" t="s">
        <v>61</v>
      </c>
      <c r="J653" s="15" t="s">
        <v>2113</v>
      </c>
      <c r="K653" s="14" t="str">
        <f t="shared" si="1"/>
        <v>07</v>
      </c>
      <c r="L653" s="14" t="s">
        <v>2114</v>
      </c>
      <c r="M653" s="14" t="s">
        <v>2282</v>
      </c>
      <c r="N653" s="14" t="s">
        <v>2038</v>
      </c>
      <c r="O653" s="14" t="s">
        <v>64</v>
      </c>
      <c r="P653" s="14" t="s">
        <v>2283</v>
      </c>
      <c r="Q653" s="16">
        <v>46234.0</v>
      </c>
    </row>
    <row r="654">
      <c r="A654" s="13">
        <v>653.0</v>
      </c>
      <c r="B654" s="14" t="s">
        <v>226</v>
      </c>
      <c r="C654" s="14" t="s">
        <v>227</v>
      </c>
      <c r="D654" s="14" t="s">
        <v>228</v>
      </c>
      <c r="E654" s="14" t="s">
        <v>229</v>
      </c>
      <c r="F654" s="14" t="s">
        <v>40</v>
      </c>
      <c r="G654" s="14" t="s">
        <v>222</v>
      </c>
      <c r="H654" s="13">
        <v>3.0</v>
      </c>
      <c r="I654" s="14" t="s">
        <v>61</v>
      </c>
      <c r="J654" s="15" t="s">
        <v>2113</v>
      </c>
      <c r="K654" s="14" t="str">
        <f t="shared" si="1"/>
        <v>07</v>
      </c>
      <c r="L654" s="14" t="s">
        <v>2114</v>
      </c>
      <c r="M654" s="14" t="s">
        <v>2284</v>
      </c>
      <c r="N654" s="14" t="s">
        <v>2285</v>
      </c>
      <c r="O654" s="14" t="s">
        <v>64</v>
      </c>
      <c r="P654" s="14" t="s">
        <v>2286</v>
      </c>
      <c r="Q654" s="16">
        <v>46231.0</v>
      </c>
    </row>
    <row r="655">
      <c r="A655" s="13">
        <v>654.0</v>
      </c>
      <c r="B655" s="14" t="s">
        <v>1606</v>
      </c>
      <c r="C655" s="14" t="s">
        <v>1607</v>
      </c>
      <c r="D655" s="14" t="s">
        <v>1608</v>
      </c>
      <c r="E655" s="14" t="s">
        <v>1609</v>
      </c>
      <c r="F655" s="14" t="s">
        <v>40</v>
      </c>
      <c r="G655" s="14" t="s">
        <v>222</v>
      </c>
      <c r="H655" s="13">
        <v>3.0</v>
      </c>
      <c r="I655" s="14" t="s">
        <v>61</v>
      </c>
      <c r="J655" s="15" t="s">
        <v>2113</v>
      </c>
      <c r="K655" s="14" t="str">
        <f t="shared" si="1"/>
        <v>07</v>
      </c>
      <c r="L655" s="14" t="s">
        <v>2114</v>
      </c>
      <c r="M655" s="14" t="s">
        <v>2287</v>
      </c>
      <c r="N655" s="14" t="s">
        <v>2041</v>
      </c>
      <c r="O655" s="16">
        <v>46267.0</v>
      </c>
      <c r="P655" s="14" t="s">
        <v>2288</v>
      </c>
      <c r="Q655" s="16">
        <v>46234.0</v>
      </c>
    </row>
    <row r="656">
      <c r="A656" s="13">
        <v>655.0</v>
      </c>
      <c r="B656" s="14" t="s">
        <v>233</v>
      </c>
      <c r="C656" s="14" t="s">
        <v>234</v>
      </c>
      <c r="D656" s="14" t="s">
        <v>235</v>
      </c>
      <c r="E656" s="14" t="s">
        <v>236</v>
      </c>
      <c r="F656" s="14" t="s">
        <v>40</v>
      </c>
      <c r="G656" s="14" t="s">
        <v>222</v>
      </c>
      <c r="H656" s="13">
        <v>3.0</v>
      </c>
      <c r="I656" s="14" t="s">
        <v>42</v>
      </c>
      <c r="J656" s="15" t="s">
        <v>2113</v>
      </c>
      <c r="K656" s="14" t="str">
        <f t="shared" si="1"/>
        <v>07</v>
      </c>
      <c r="L656" s="14" t="s">
        <v>2114</v>
      </c>
      <c r="M656" s="14" t="s">
        <v>2289</v>
      </c>
      <c r="N656" s="14" t="s">
        <v>2044</v>
      </c>
      <c r="O656" s="16">
        <v>46291.0</v>
      </c>
      <c r="Q656" s="16">
        <v>46230.0</v>
      </c>
    </row>
    <row r="657">
      <c r="A657" s="13">
        <v>656.0</v>
      </c>
      <c r="B657" s="14" t="s">
        <v>1614</v>
      </c>
      <c r="C657" s="14" t="s">
        <v>1615</v>
      </c>
      <c r="D657" s="14" t="s">
        <v>1616</v>
      </c>
      <c r="E657" s="14" t="s">
        <v>1617</v>
      </c>
      <c r="F657" s="14" t="s">
        <v>40</v>
      </c>
      <c r="G657" s="14" t="s">
        <v>222</v>
      </c>
      <c r="H657" s="13">
        <v>3.0</v>
      </c>
      <c r="I657" s="14" t="s">
        <v>61</v>
      </c>
      <c r="J657" s="15" t="s">
        <v>2113</v>
      </c>
      <c r="K657" s="14" t="str">
        <f t="shared" si="1"/>
        <v>07</v>
      </c>
      <c r="L657" s="14" t="s">
        <v>2114</v>
      </c>
      <c r="M657" s="14" t="s">
        <v>2290</v>
      </c>
      <c r="N657" s="14" t="s">
        <v>2046</v>
      </c>
      <c r="O657" s="14" t="s">
        <v>64</v>
      </c>
      <c r="P657" s="14" t="s">
        <v>2291</v>
      </c>
      <c r="Q657" s="16">
        <v>46230.0</v>
      </c>
    </row>
    <row r="658">
      <c r="A658" s="13">
        <v>657.0</v>
      </c>
      <c r="B658" s="14" t="s">
        <v>452</v>
      </c>
      <c r="C658" s="14" t="s">
        <v>453</v>
      </c>
      <c r="D658" s="14" t="s">
        <v>454</v>
      </c>
      <c r="E658" s="14" t="s">
        <v>455</v>
      </c>
      <c r="F658" s="14" t="s">
        <v>40</v>
      </c>
      <c r="G658" s="14" t="s">
        <v>222</v>
      </c>
      <c r="H658" s="13">
        <v>3.0</v>
      </c>
      <c r="I658" s="14" t="s">
        <v>61</v>
      </c>
      <c r="J658" s="15" t="s">
        <v>2113</v>
      </c>
      <c r="K658" s="14" t="str">
        <f t="shared" si="1"/>
        <v>07</v>
      </c>
      <c r="L658" s="14" t="s">
        <v>2114</v>
      </c>
      <c r="M658" s="14" t="s">
        <v>2292</v>
      </c>
      <c r="N658" s="14" t="s">
        <v>2293</v>
      </c>
      <c r="O658" s="14" t="s">
        <v>64</v>
      </c>
      <c r="P658" s="14" t="s">
        <v>2294</v>
      </c>
      <c r="Q658" s="16">
        <v>46275.0</v>
      </c>
    </row>
    <row r="659">
      <c r="A659" s="13">
        <v>658.0</v>
      </c>
      <c r="B659" s="14" t="s">
        <v>398</v>
      </c>
      <c r="C659" s="14" t="s">
        <v>399</v>
      </c>
      <c r="D659" s="14" t="s">
        <v>400</v>
      </c>
      <c r="E659" s="14" t="s">
        <v>401</v>
      </c>
      <c r="F659" s="14" t="s">
        <v>40</v>
      </c>
      <c r="G659" s="14" t="s">
        <v>222</v>
      </c>
      <c r="H659" s="13">
        <v>3.0</v>
      </c>
      <c r="I659" s="14" t="s">
        <v>42</v>
      </c>
      <c r="J659" s="15" t="s">
        <v>2113</v>
      </c>
      <c r="K659" s="14" t="str">
        <f t="shared" si="1"/>
        <v>07</v>
      </c>
      <c r="L659" s="14" t="s">
        <v>2114</v>
      </c>
      <c r="M659" s="14" t="s">
        <v>2295</v>
      </c>
      <c r="N659" s="14" t="s">
        <v>2049</v>
      </c>
      <c r="O659" s="16">
        <v>46291.0</v>
      </c>
      <c r="P659" s="14" t="s">
        <v>2296</v>
      </c>
      <c r="Q659" s="16">
        <v>46230.0</v>
      </c>
    </row>
    <row r="660">
      <c r="A660" s="13">
        <v>659.0</v>
      </c>
      <c r="B660" s="14" t="s">
        <v>398</v>
      </c>
      <c r="C660" s="14" t="s">
        <v>399</v>
      </c>
      <c r="D660" s="14" t="s">
        <v>400</v>
      </c>
      <c r="E660" s="14" t="s">
        <v>945</v>
      </c>
      <c r="F660" s="14" t="s">
        <v>489</v>
      </c>
      <c r="G660" s="14" t="s">
        <v>222</v>
      </c>
      <c r="H660" s="13">
        <v>3.0</v>
      </c>
      <c r="I660" s="14" t="s">
        <v>42</v>
      </c>
      <c r="J660" s="15" t="s">
        <v>2113</v>
      </c>
      <c r="K660" s="14" t="str">
        <f t="shared" si="1"/>
        <v>07</v>
      </c>
      <c r="L660" s="14" t="s">
        <v>2114</v>
      </c>
      <c r="M660" s="14" t="s">
        <v>2297</v>
      </c>
      <c r="N660" s="14" t="s">
        <v>2054</v>
      </c>
      <c r="O660" s="16">
        <v>46291.0</v>
      </c>
      <c r="Q660" s="16">
        <v>46230.0</v>
      </c>
    </row>
    <row r="661">
      <c r="A661" s="13">
        <v>660.0</v>
      </c>
      <c r="B661" s="14" t="s">
        <v>638</v>
      </c>
      <c r="C661" s="14" t="s">
        <v>639</v>
      </c>
      <c r="D661" s="14" t="s">
        <v>640</v>
      </c>
      <c r="E661" s="14" t="s">
        <v>641</v>
      </c>
      <c r="F661" s="14" t="s">
        <v>40</v>
      </c>
      <c r="G661" s="14" t="s">
        <v>222</v>
      </c>
      <c r="H661" s="13">
        <v>3.0</v>
      </c>
      <c r="I661" s="14" t="s">
        <v>61</v>
      </c>
      <c r="J661" s="15" t="s">
        <v>2113</v>
      </c>
      <c r="K661" s="14" t="str">
        <f t="shared" si="1"/>
        <v>07</v>
      </c>
      <c r="L661" s="14" t="s">
        <v>2114</v>
      </c>
      <c r="M661" s="14" t="s">
        <v>2298</v>
      </c>
      <c r="N661" s="14" t="s">
        <v>2056</v>
      </c>
      <c r="O661" s="14" t="s">
        <v>64</v>
      </c>
      <c r="P661" s="14" t="s">
        <v>2299</v>
      </c>
      <c r="Q661" s="16">
        <v>46230.0</v>
      </c>
    </row>
    <row r="662">
      <c r="A662" s="13">
        <v>661.0</v>
      </c>
      <c r="B662" s="14" t="s">
        <v>246</v>
      </c>
      <c r="C662" s="14" t="s">
        <v>247</v>
      </c>
      <c r="D662" s="14" t="s">
        <v>248</v>
      </c>
      <c r="E662" s="14" t="s">
        <v>526</v>
      </c>
      <c r="F662" s="14" t="s">
        <v>527</v>
      </c>
      <c r="G662" s="14" t="s">
        <v>222</v>
      </c>
      <c r="H662" s="13">
        <v>3.0</v>
      </c>
      <c r="I662" s="14" t="s">
        <v>42</v>
      </c>
      <c r="J662" s="15" t="s">
        <v>2113</v>
      </c>
      <c r="K662" s="14" t="str">
        <f t="shared" si="1"/>
        <v>07</v>
      </c>
      <c r="L662" s="14" t="s">
        <v>2114</v>
      </c>
      <c r="M662" s="14" t="s">
        <v>2300</v>
      </c>
      <c r="N662" s="14" t="s">
        <v>2059</v>
      </c>
      <c r="O662" s="16">
        <v>46291.0</v>
      </c>
      <c r="P662" s="14" t="s">
        <v>2301</v>
      </c>
      <c r="Q662" s="16">
        <v>46230.0</v>
      </c>
    </row>
    <row r="663">
      <c r="A663" s="13">
        <v>662.0</v>
      </c>
      <c r="B663" s="14" t="s">
        <v>246</v>
      </c>
      <c r="C663" s="14" t="s">
        <v>247</v>
      </c>
      <c r="D663" s="14" t="s">
        <v>248</v>
      </c>
      <c r="E663" s="14" t="s">
        <v>253</v>
      </c>
      <c r="F663" s="14" t="s">
        <v>40</v>
      </c>
      <c r="G663" s="14" t="s">
        <v>222</v>
      </c>
      <c r="H663" s="13">
        <v>3.0</v>
      </c>
      <c r="I663" s="14" t="s">
        <v>42</v>
      </c>
      <c r="J663" s="15" t="s">
        <v>2113</v>
      </c>
      <c r="K663" s="14" t="str">
        <f t="shared" si="1"/>
        <v>07</v>
      </c>
      <c r="L663" s="14" t="s">
        <v>2114</v>
      </c>
      <c r="M663" s="14" t="s">
        <v>2302</v>
      </c>
      <c r="N663" s="14" t="s">
        <v>2061</v>
      </c>
      <c r="O663" s="16">
        <v>46290.0</v>
      </c>
      <c r="Q663" s="16">
        <v>46230.0</v>
      </c>
    </row>
    <row r="664">
      <c r="A664" s="13">
        <v>663.0</v>
      </c>
      <c r="B664" s="14" t="s">
        <v>246</v>
      </c>
      <c r="C664" s="14" t="s">
        <v>247</v>
      </c>
      <c r="D664" s="14" t="s">
        <v>248</v>
      </c>
      <c r="E664" s="14" t="s">
        <v>577</v>
      </c>
      <c r="F664" s="14" t="s">
        <v>489</v>
      </c>
      <c r="G664" s="14" t="s">
        <v>222</v>
      </c>
      <c r="H664" s="13">
        <v>3.0</v>
      </c>
      <c r="I664" s="14" t="s">
        <v>42</v>
      </c>
      <c r="J664" s="15" t="s">
        <v>2113</v>
      </c>
      <c r="K664" s="14" t="str">
        <f t="shared" si="1"/>
        <v>07</v>
      </c>
      <c r="L664" s="14" t="s">
        <v>2114</v>
      </c>
      <c r="M664" s="14" t="s">
        <v>2303</v>
      </c>
      <c r="N664" s="14" t="s">
        <v>2063</v>
      </c>
      <c r="O664" s="16">
        <v>46291.0</v>
      </c>
      <c r="Q664" s="16">
        <v>46230.0</v>
      </c>
    </row>
    <row r="665">
      <c r="A665" s="13">
        <v>664.0</v>
      </c>
      <c r="B665" s="14" t="s">
        <v>951</v>
      </c>
      <c r="C665" s="14" t="s">
        <v>952</v>
      </c>
      <c r="D665" s="14" t="s">
        <v>953</v>
      </c>
      <c r="E665" s="14" t="s">
        <v>954</v>
      </c>
      <c r="F665" s="14" t="s">
        <v>40</v>
      </c>
      <c r="G665" s="14" t="s">
        <v>261</v>
      </c>
      <c r="H665" s="13">
        <v>3.0</v>
      </c>
      <c r="I665" s="14" t="s">
        <v>42</v>
      </c>
      <c r="J665" s="15" t="s">
        <v>2113</v>
      </c>
      <c r="K665" s="14" t="str">
        <f t="shared" si="1"/>
        <v>07</v>
      </c>
      <c r="L665" s="14" t="s">
        <v>2114</v>
      </c>
      <c r="M665" s="14" t="s">
        <v>2304</v>
      </c>
      <c r="N665" s="14" t="s">
        <v>2065</v>
      </c>
      <c r="O665" s="16">
        <v>46315.0</v>
      </c>
      <c r="P665" s="14" t="s">
        <v>2305</v>
      </c>
      <c r="Q665" s="16">
        <v>46291.0</v>
      </c>
    </row>
    <row r="666">
      <c r="A666" s="13">
        <v>665.0</v>
      </c>
      <c r="B666" s="14" t="s">
        <v>647</v>
      </c>
      <c r="C666" s="14" t="s">
        <v>648</v>
      </c>
      <c r="D666" s="14" t="s">
        <v>649</v>
      </c>
      <c r="E666" s="14" t="s">
        <v>650</v>
      </c>
      <c r="F666" s="14" t="s">
        <v>40</v>
      </c>
      <c r="G666" s="14" t="s">
        <v>261</v>
      </c>
      <c r="H666" s="13">
        <v>3.0</v>
      </c>
      <c r="I666" s="14" t="s">
        <v>42</v>
      </c>
      <c r="J666" s="15" t="s">
        <v>2113</v>
      </c>
      <c r="K666" s="14" t="str">
        <f t="shared" si="1"/>
        <v>07</v>
      </c>
      <c r="L666" s="14" t="s">
        <v>2114</v>
      </c>
      <c r="M666" s="14" t="s">
        <v>2304</v>
      </c>
      <c r="N666" s="14" t="s">
        <v>2070</v>
      </c>
      <c r="O666" s="16">
        <v>46316.0</v>
      </c>
      <c r="Q666" s="16">
        <v>46232.0</v>
      </c>
    </row>
    <row r="667">
      <c r="A667" s="13">
        <v>666.0</v>
      </c>
      <c r="B667" s="14" t="s">
        <v>1134</v>
      </c>
      <c r="C667" s="14" t="s">
        <v>1135</v>
      </c>
      <c r="D667" s="14" t="s">
        <v>1136</v>
      </c>
      <c r="E667" s="14" t="s">
        <v>1137</v>
      </c>
      <c r="F667" s="14" t="s">
        <v>489</v>
      </c>
      <c r="G667" s="14" t="s">
        <v>261</v>
      </c>
      <c r="H667" s="13">
        <v>3.0</v>
      </c>
      <c r="I667" s="14" t="s">
        <v>42</v>
      </c>
      <c r="J667" s="15" t="s">
        <v>2113</v>
      </c>
      <c r="K667" s="14" t="str">
        <f t="shared" si="1"/>
        <v>07</v>
      </c>
      <c r="L667" s="14" t="s">
        <v>2114</v>
      </c>
      <c r="M667" s="14" t="s">
        <v>2306</v>
      </c>
      <c r="N667" s="14" t="s">
        <v>2307</v>
      </c>
      <c r="O667" s="16">
        <v>46317.0</v>
      </c>
      <c r="Q667" s="16">
        <v>46232.0</v>
      </c>
    </row>
    <row r="668">
      <c r="A668" s="13">
        <v>667.0</v>
      </c>
      <c r="B668" s="14" t="s">
        <v>1179</v>
      </c>
      <c r="C668" s="14" t="s">
        <v>1180</v>
      </c>
      <c r="D668" s="14" t="s">
        <v>1181</v>
      </c>
      <c r="E668" s="14" t="s">
        <v>1182</v>
      </c>
      <c r="F668" s="14" t="s">
        <v>178</v>
      </c>
      <c r="G668" s="14" t="s">
        <v>261</v>
      </c>
      <c r="H668" s="13">
        <v>3.0</v>
      </c>
      <c r="I668" s="14" t="s">
        <v>42</v>
      </c>
      <c r="J668" s="15" t="s">
        <v>2113</v>
      </c>
      <c r="K668" s="14" t="str">
        <f t="shared" si="1"/>
        <v>07</v>
      </c>
      <c r="L668" s="14" t="s">
        <v>2114</v>
      </c>
      <c r="M668" s="14" t="s">
        <v>2308</v>
      </c>
      <c r="N668" s="14" t="s">
        <v>2309</v>
      </c>
      <c r="O668" s="14" t="s">
        <v>64</v>
      </c>
      <c r="P668" s="14" t="s">
        <v>2310</v>
      </c>
      <c r="Q668" s="16">
        <v>46273.0</v>
      </c>
    </row>
    <row r="669">
      <c r="A669" s="13">
        <v>668.0</v>
      </c>
      <c r="B669" s="14" t="s">
        <v>413</v>
      </c>
      <c r="C669" s="14" t="s">
        <v>414</v>
      </c>
      <c r="D669" s="14" t="s">
        <v>415</v>
      </c>
      <c r="E669" s="14" t="s">
        <v>416</v>
      </c>
      <c r="F669" s="14" t="s">
        <v>178</v>
      </c>
      <c r="G669" s="14" t="s">
        <v>261</v>
      </c>
      <c r="H669" s="13">
        <v>3.0</v>
      </c>
      <c r="I669" s="14" t="s">
        <v>42</v>
      </c>
      <c r="J669" s="15" t="s">
        <v>2113</v>
      </c>
      <c r="K669" s="14" t="str">
        <f t="shared" si="1"/>
        <v>07</v>
      </c>
      <c r="L669" s="14" t="s">
        <v>2114</v>
      </c>
      <c r="M669" s="14" t="s">
        <v>2311</v>
      </c>
      <c r="N669" s="14" t="s">
        <v>2312</v>
      </c>
      <c r="O669" s="16">
        <v>46318.0</v>
      </c>
      <c r="P669" s="14" t="s">
        <v>2313</v>
      </c>
      <c r="Q669" s="16">
        <v>46267.0</v>
      </c>
    </row>
    <row r="670">
      <c r="A670" s="13">
        <v>669.0</v>
      </c>
      <c r="B670" s="14" t="s">
        <v>460</v>
      </c>
      <c r="C670" s="14" t="s">
        <v>461</v>
      </c>
      <c r="D670" s="14" t="s">
        <v>462</v>
      </c>
      <c r="E670" s="14" t="s">
        <v>463</v>
      </c>
      <c r="F670" s="14" t="s">
        <v>40</v>
      </c>
      <c r="G670" s="14" t="s">
        <v>261</v>
      </c>
      <c r="H670" s="13">
        <v>3.0</v>
      </c>
      <c r="I670" s="14" t="s">
        <v>42</v>
      </c>
      <c r="J670" s="15" t="s">
        <v>2113</v>
      </c>
      <c r="K670" s="14" t="str">
        <f t="shared" si="1"/>
        <v>07</v>
      </c>
      <c r="L670" s="14" t="s">
        <v>2114</v>
      </c>
      <c r="M670" s="14" t="s">
        <v>2314</v>
      </c>
      <c r="N670" s="14" t="s">
        <v>2073</v>
      </c>
      <c r="O670" s="14" t="s">
        <v>64</v>
      </c>
      <c r="P670" s="14" t="s">
        <v>2315</v>
      </c>
      <c r="Q670" s="16">
        <v>46255.0</v>
      </c>
    </row>
    <row r="671">
      <c r="A671" s="13">
        <v>670.0</v>
      </c>
      <c r="B671" s="14" t="s">
        <v>264</v>
      </c>
      <c r="C671" s="14" t="s">
        <v>265</v>
      </c>
      <c r="D671" s="14" t="s">
        <v>266</v>
      </c>
      <c r="E671" s="14" t="s">
        <v>267</v>
      </c>
      <c r="F671" s="14" t="s">
        <v>60</v>
      </c>
      <c r="G671" s="14" t="s">
        <v>261</v>
      </c>
      <c r="H671" s="13">
        <v>3.0</v>
      </c>
      <c r="I671" s="14" t="s">
        <v>61</v>
      </c>
      <c r="J671" s="15" t="s">
        <v>2113</v>
      </c>
      <c r="K671" s="14" t="str">
        <f t="shared" si="1"/>
        <v>07</v>
      </c>
      <c r="L671" s="14" t="s">
        <v>2114</v>
      </c>
      <c r="M671" s="14" t="s">
        <v>2316</v>
      </c>
      <c r="N671" s="14" t="s">
        <v>2076</v>
      </c>
      <c r="O671" s="16">
        <v>46290.0</v>
      </c>
      <c r="P671" s="14" t="s">
        <v>2317</v>
      </c>
      <c r="Q671" s="16">
        <v>46294.0</v>
      </c>
    </row>
    <row r="672">
      <c r="A672" s="13">
        <v>671.0</v>
      </c>
      <c r="B672" s="14" t="s">
        <v>272</v>
      </c>
      <c r="C672" s="14" t="s">
        <v>273</v>
      </c>
      <c r="D672" s="14" t="s">
        <v>274</v>
      </c>
      <c r="E672" s="14" t="s">
        <v>275</v>
      </c>
      <c r="F672" s="14" t="s">
        <v>40</v>
      </c>
      <c r="G672" s="14" t="s">
        <v>261</v>
      </c>
      <c r="H672" s="13">
        <v>3.0</v>
      </c>
      <c r="I672" s="14" t="s">
        <v>42</v>
      </c>
      <c r="J672" s="15" t="s">
        <v>2113</v>
      </c>
      <c r="K672" s="14" t="str">
        <f t="shared" si="1"/>
        <v>07</v>
      </c>
      <c r="L672" s="14" t="s">
        <v>2114</v>
      </c>
      <c r="M672" s="14" t="s">
        <v>2318</v>
      </c>
      <c r="N672" s="14" t="s">
        <v>2079</v>
      </c>
      <c r="O672" s="16">
        <v>46318.0</v>
      </c>
      <c r="Q672" s="16">
        <v>46233.0</v>
      </c>
    </row>
    <row r="673">
      <c r="A673" s="13">
        <v>672.0</v>
      </c>
      <c r="B673" s="14" t="s">
        <v>964</v>
      </c>
      <c r="C673" s="14" t="s">
        <v>965</v>
      </c>
      <c r="D673" s="14" t="s">
        <v>966</v>
      </c>
      <c r="E673" s="14" t="s">
        <v>967</v>
      </c>
      <c r="F673" s="14" t="s">
        <v>40</v>
      </c>
      <c r="G673" s="14" t="s">
        <v>261</v>
      </c>
      <c r="H673" s="13">
        <v>3.0</v>
      </c>
      <c r="I673" s="14" t="s">
        <v>61</v>
      </c>
      <c r="J673" s="15" t="s">
        <v>2113</v>
      </c>
      <c r="K673" s="14" t="str">
        <f t="shared" si="1"/>
        <v>07</v>
      </c>
      <c r="L673" s="14" t="s">
        <v>2114</v>
      </c>
      <c r="M673" s="14" t="s">
        <v>2319</v>
      </c>
      <c r="N673" s="14" t="s">
        <v>2081</v>
      </c>
      <c r="O673" s="14" t="s">
        <v>64</v>
      </c>
      <c r="P673" s="14" t="s">
        <v>2320</v>
      </c>
      <c r="Q673" s="16">
        <v>46286.0</v>
      </c>
    </row>
    <row r="674">
      <c r="A674" s="13">
        <v>673.0</v>
      </c>
      <c r="B674" s="14" t="s">
        <v>1657</v>
      </c>
      <c r="C674" s="14" t="s">
        <v>1658</v>
      </c>
      <c r="D674" s="14" t="s">
        <v>1659</v>
      </c>
      <c r="E674" s="14" t="s">
        <v>1660</v>
      </c>
      <c r="F674" s="14" t="s">
        <v>60</v>
      </c>
      <c r="G674" s="14" t="s">
        <v>261</v>
      </c>
      <c r="H674" s="13">
        <v>3.0</v>
      </c>
      <c r="I674" s="14" t="s">
        <v>42</v>
      </c>
      <c r="J674" s="15" t="s">
        <v>2113</v>
      </c>
      <c r="K674" s="14" t="str">
        <f t="shared" si="1"/>
        <v>07</v>
      </c>
      <c r="L674" s="14" t="s">
        <v>2114</v>
      </c>
      <c r="M674" s="14" t="s">
        <v>2321</v>
      </c>
      <c r="N674" s="14" t="s">
        <v>2322</v>
      </c>
      <c r="O674" s="16">
        <v>46304.0</v>
      </c>
      <c r="P674" s="14" t="s">
        <v>2323</v>
      </c>
      <c r="Q674" s="16">
        <v>46273.0</v>
      </c>
    </row>
    <row r="675">
      <c r="A675" s="13">
        <v>674.0</v>
      </c>
      <c r="B675" s="14" t="s">
        <v>1657</v>
      </c>
      <c r="C675" s="14" t="s">
        <v>1658</v>
      </c>
      <c r="D675" s="14" t="s">
        <v>1659</v>
      </c>
      <c r="E675" s="14" t="s">
        <v>1708</v>
      </c>
      <c r="F675" s="14" t="s">
        <v>178</v>
      </c>
      <c r="G675" s="14" t="s">
        <v>261</v>
      </c>
      <c r="H675" s="13">
        <v>3.0</v>
      </c>
      <c r="I675" s="14" t="s">
        <v>42</v>
      </c>
      <c r="J675" s="15" t="s">
        <v>2113</v>
      </c>
      <c r="K675" s="14" t="str">
        <f t="shared" si="1"/>
        <v>07</v>
      </c>
      <c r="L675" s="14" t="s">
        <v>2114</v>
      </c>
      <c r="M675" s="14" t="s">
        <v>2321</v>
      </c>
      <c r="N675" s="14" t="s">
        <v>2324</v>
      </c>
      <c r="O675" s="16">
        <v>46270.0</v>
      </c>
      <c r="P675" s="14" t="s">
        <v>2325</v>
      </c>
      <c r="Q675" s="16">
        <v>46273.0</v>
      </c>
    </row>
    <row r="676">
      <c r="A676" s="13">
        <v>675.0</v>
      </c>
      <c r="B676" s="14" t="s">
        <v>278</v>
      </c>
      <c r="C676" s="14" t="s">
        <v>279</v>
      </c>
      <c r="D676" s="14" t="s">
        <v>280</v>
      </c>
      <c r="E676" s="14" t="s">
        <v>281</v>
      </c>
      <c r="F676" s="14" t="s">
        <v>40</v>
      </c>
      <c r="G676" s="14" t="s">
        <v>261</v>
      </c>
      <c r="H676" s="13">
        <v>3.0</v>
      </c>
      <c r="I676" s="14" t="s">
        <v>61</v>
      </c>
      <c r="J676" s="15" t="s">
        <v>2113</v>
      </c>
      <c r="K676" s="14" t="str">
        <f t="shared" si="1"/>
        <v>07</v>
      </c>
      <c r="L676" s="14" t="s">
        <v>2114</v>
      </c>
      <c r="M676" s="14" t="s">
        <v>2326</v>
      </c>
      <c r="N676" s="14" t="s">
        <v>2084</v>
      </c>
      <c r="O676" s="16">
        <v>46290.0</v>
      </c>
      <c r="P676" s="14" t="s">
        <v>2327</v>
      </c>
      <c r="Q676" s="16">
        <v>46252.0</v>
      </c>
    </row>
    <row r="677">
      <c r="A677" s="13">
        <v>676.0</v>
      </c>
      <c r="B677" s="14" t="s">
        <v>1667</v>
      </c>
      <c r="C677" s="14" t="s">
        <v>1668</v>
      </c>
      <c r="D677" s="14" t="s">
        <v>1669</v>
      </c>
      <c r="E677" s="14" t="s">
        <v>1670</v>
      </c>
      <c r="F677" s="14" t="s">
        <v>40</v>
      </c>
      <c r="G677" s="14" t="s">
        <v>261</v>
      </c>
      <c r="H677" s="13">
        <v>3.0</v>
      </c>
      <c r="I677" s="14" t="s">
        <v>42</v>
      </c>
      <c r="J677" s="15" t="s">
        <v>2113</v>
      </c>
      <c r="K677" s="14" t="str">
        <f t="shared" si="1"/>
        <v>07</v>
      </c>
      <c r="L677" s="14" t="s">
        <v>2114</v>
      </c>
      <c r="M677" s="14" t="s">
        <v>2328</v>
      </c>
      <c r="N677" s="14" t="s">
        <v>2087</v>
      </c>
      <c r="O677" s="16">
        <v>46290.0</v>
      </c>
      <c r="Q677" s="16">
        <v>46233.0</v>
      </c>
    </row>
    <row r="678">
      <c r="A678" s="13">
        <v>677.0</v>
      </c>
      <c r="B678" s="14" t="s">
        <v>286</v>
      </c>
      <c r="C678" s="14" t="s">
        <v>287</v>
      </c>
      <c r="D678" s="14" t="s">
        <v>288</v>
      </c>
      <c r="E678" s="14" t="s">
        <v>289</v>
      </c>
      <c r="F678" s="14" t="s">
        <v>162</v>
      </c>
      <c r="G678" s="14" t="s">
        <v>261</v>
      </c>
      <c r="H678" s="13">
        <v>3.0</v>
      </c>
      <c r="I678" s="14" t="s">
        <v>42</v>
      </c>
      <c r="J678" s="15" t="s">
        <v>2113</v>
      </c>
      <c r="K678" s="14" t="str">
        <f t="shared" si="1"/>
        <v>07</v>
      </c>
      <c r="L678" s="14" t="s">
        <v>2114</v>
      </c>
      <c r="M678" s="14" t="s">
        <v>2329</v>
      </c>
      <c r="N678" s="14" t="s">
        <v>2089</v>
      </c>
      <c r="O678" s="14" t="s">
        <v>64</v>
      </c>
      <c r="Q678" s="16">
        <v>46233.0</v>
      </c>
    </row>
    <row r="679">
      <c r="A679" s="13">
        <v>678.0</v>
      </c>
      <c r="B679" s="14" t="s">
        <v>1191</v>
      </c>
      <c r="C679" s="14" t="s">
        <v>1192</v>
      </c>
      <c r="D679" s="14" t="s">
        <v>1193</v>
      </c>
      <c r="E679" s="14" t="s">
        <v>1194</v>
      </c>
      <c r="F679" s="14" t="s">
        <v>489</v>
      </c>
      <c r="G679" s="14" t="s">
        <v>297</v>
      </c>
      <c r="H679" s="13">
        <v>3.0</v>
      </c>
      <c r="I679" s="14" t="s">
        <v>42</v>
      </c>
      <c r="J679" s="15" t="s">
        <v>2113</v>
      </c>
      <c r="K679" s="14" t="str">
        <f t="shared" si="1"/>
        <v>07</v>
      </c>
      <c r="L679" s="14" t="s">
        <v>2114</v>
      </c>
      <c r="M679" s="14" t="s">
        <v>2330</v>
      </c>
      <c r="N679" s="14" t="s">
        <v>2331</v>
      </c>
      <c r="O679" s="16">
        <v>46305.0</v>
      </c>
      <c r="Q679" s="16">
        <v>46233.0</v>
      </c>
    </row>
    <row r="680">
      <c r="A680" s="13">
        <v>679.0</v>
      </c>
      <c r="B680" s="14" t="s">
        <v>2332</v>
      </c>
      <c r="C680" s="14" t="s">
        <v>2333</v>
      </c>
      <c r="D680" s="14" t="s">
        <v>2334</v>
      </c>
      <c r="E680" s="14" t="s">
        <v>2335</v>
      </c>
      <c r="F680" s="14" t="s">
        <v>154</v>
      </c>
      <c r="G680" s="14" t="s">
        <v>297</v>
      </c>
      <c r="H680" s="13">
        <v>3.0</v>
      </c>
      <c r="I680" s="14" t="s">
        <v>61</v>
      </c>
      <c r="J680" s="15" t="s">
        <v>2113</v>
      </c>
      <c r="K680" s="14" t="str">
        <f t="shared" si="1"/>
        <v>07</v>
      </c>
      <c r="L680" s="14" t="s">
        <v>2114</v>
      </c>
      <c r="M680" s="14" t="s">
        <v>2336</v>
      </c>
      <c r="N680" s="14" t="s">
        <v>2337</v>
      </c>
      <c r="O680" s="14" t="s">
        <v>64</v>
      </c>
      <c r="P680" s="14" t="s">
        <v>2338</v>
      </c>
      <c r="Q680" s="16">
        <v>46237.0</v>
      </c>
    </row>
    <row r="681">
      <c r="A681" s="13">
        <v>680.0</v>
      </c>
      <c r="B681" s="14" t="s">
        <v>2339</v>
      </c>
      <c r="C681" s="14" t="s">
        <v>2340</v>
      </c>
      <c r="D681" s="14" t="s">
        <v>2341</v>
      </c>
      <c r="E681" s="14" t="s">
        <v>2342</v>
      </c>
      <c r="F681" s="14" t="s">
        <v>207</v>
      </c>
      <c r="G681" s="14" t="s">
        <v>297</v>
      </c>
      <c r="H681" s="13">
        <v>3.0</v>
      </c>
      <c r="I681" s="14" t="s">
        <v>61</v>
      </c>
      <c r="J681" s="15" t="s">
        <v>2113</v>
      </c>
      <c r="K681" s="14" t="str">
        <f t="shared" si="1"/>
        <v>07</v>
      </c>
      <c r="L681" s="14" t="s">
        <v>2114</v>
      </c>
      <c r="M681" s="14" t="s">
        <v>2343</v>
      </c>
      <c r="N681" s="14" t="s">
        <v>2344</v>
      </c>
      <c r="O681" s="14" t="s">
        <v>64</v>
      </c>
      <c r="P681" s="14" t="s">
        <v>2345</v>
      </c>
      <c r="Q681" s="16">
        <v>46240.0</v>
      </c>
    </row>
    <row r="682">
      <c r="A682" s="13">
        <v>681.0</v>
      </c>
      <c r="B682" s="14" t="s">
        <v>974</v>
      </c>
      <c r="C682" s="14" t="s">
        <v>975</v>
      </c>
      <c r="D682" s="14" t="s">
        <v>976</v>
      </c>
      <c r="E682" s="14" t="s">
        <v>977</v>
      </c>
      <c r="F682" s="14" t="s">
        <v>207</v>
      </c>
      <c r="G682" s="14" t="s">
        <v>297</v>
      </c>
      <c r="H682" s="13">
        <v>3.0</v>
      </c>
      <c r="I682" s="14" t="s">
        <v>61</v>
      </c>
      <c r="J682" s="15" t="s">
        <v>2113</v>
      </c>
      <c r="K682" s="14" t="str">
        <f t="shared" si="1"/>
        <v>07</v>
      </c>
      <c r="L682" s="14" t="s">
        <v>2114</v>
      </c>
      <c r="M682" s="14" t="s">
        <v>2346</v>
      </c>
      <c r="N682" s="14" t="s">
        <v>2347</v>
      </c>
      <c r="O682" s="14" t="s">
        <v>64</v>
      </c>
      <c r="P682" s="14" t="s">
        <v>2348</v>
      </c>
      <c r="Q682" s="16">
        <v>46254.0</v>
      </c>
    </row>
    <row r="683">
      <c r="A683" s="13">
        <v>682.0</v>
      </c>
      <c r="B683" s="14" t="s">
        <v>302</v>
      </c>
      <c r="C683" s="14" t="s">
        <v>303</v>
      </c>
      <c r="D683" s="14" t="s">
        <v>304</v>
      </c>
      <c r="E683" s="14" t="s">
        <v>305</v>
      </c>
      <c r="F683" s="14" t="s">
        <v>162</v>
      </c>
      <c r="G683" s="14" t="s">
        <v>261</v>
      </c>
      <c r="H683" s="13">
        <v>3.0</v>
      </c>
      <c r="I683" s="14" t="s">
        <v>42</v>
      </c>
      <c r="J683" s="15" t="s">
        <v>2113</v>
      </c>
      <c r="K683" s="14" t="str">
        <f t="shared" si="1"/>
        <v>07</v>
      </c>
      <c r="L683" s="14" t="s">
        <v>2114</v>
      </c>
      <c r="M683" s="14" t="s">
        <v>2349</v>
      </c>
      <c r="N683" s="14" t="s">
        <v>2091</v>
      </c>
      <c r="O683" s="14" t="s">
        <v>64</v>
      </c>
      <c r="P683" s="14" t="s">
        <v>2350</v>
      </c>
      <c r="Q683" s="16">
        <v>46271.0</v>
      </c>
    </row>
    <row r="684">
      <c r="A684" s="13">
        <v>683.0</v>
      </c>
      <c r="B684" s="14" t="s">
        <v>310</v>
      </c>
      <c r="C684" s="14" t="s">
        <v>311</v>
      </c>
      <c r="D684" s="14" t="s">
        <v>313</v>
      </c>
      <c r="E684" s="14" t="s">
        <v>314</v>
      </c>
      <c r="F684" s="14" t="s">
        <v>162</v>
      </c>
      <c r="G684" s="14" t="s">
        <v>261</v>
      </c>
      <c r="H684" s="13">
        <v>3.0</v>
      </c>
      <c r="I684" s="14" t="s">
        <v>61</v>
      </c>
      <c r="J684" s="15" t="s">
        <v>2113</v>
      </c>
      <c r="K684" s="14" t="str">
        <f t="shared" si="1"/>
        <v>07</v>
      </c>
      <c r="L684" s="14" t="s">
        <v>2114</v>
      </c>
      <c r="M684" s="14" t="s">
        <v>2351</v>
      </c>
      <c r="N684" s="14" t="s">
        <v>2094</v>
      </c>
      <c r="O684" s="14" t="s">
        <v>64</v>
      </c>
      <c r="P684" s="14" t="s">
        <v>2352</v>
      </c>
      <c r="Q684" s="16">
        <v>46252.0</v>
      </c>
    </row>
    <row r="685">
      <c r="A685" s="13">
        <v>684.0</v>
      </c>
      <c r="B685" s="14" t="s">
        <v>470</v>
      </c>
      <c r="C685" s="14" t="s">
        <v>471</v>
      </c>
      <c r="D685" s="14" t="s">
        <v>472</v>
      </c>
      <c r="E685" s="14" t="s">
        <v>473</v>
      </c>
      <c r="F685" s="14" t="s">
        <v>60</v>
      </c>
      <c r="G685" s="14" t="s">
        <v>261</v>
      </c>
      <c r="H685" s="13">
        <v>3.0</v>
      </c>
      <c r="I685" s="14" t="s">
        <v>42</v>
      </c>
      <c r="J685" s="15" t="s">
        <v>2113</v>
      </c>
      <c r="K685" s="14" t="str">
        <f t="shared" si="1"/>
        <v>07</v>
      </c>
      <c r="L685" s="14" t="s">
        <v>2114</v>
      </c>
      <c r="M685" s="14" t="s">
        <v>2353</v>
      </c>
      <c r="N685" s="14" t="s">
        <v>2097</v>
      </c>
      <c r="O685" s="16">
        <v>46275.0</v>
      </c>
      <c r="P685" s="14" t="s">
        <v>2354</v>
      </c>
      <c r="Q685" s="16">
        <v>46241.0</v>
      </c>
    </row>
    <row r="686">
      <c r="A686" s="13">
        <v>685.0</v>
      </c>
      <c r="B686" s="14" t="s">
        <v>318</v>
      </c>
      <c r="C686" s="14" t="s">
        <v>319</v>
      </c>
      <c r="D686" s="14" t="s">
        <v>320</v>
      </c>
      <c r="E686" s="14" t="s">
        <v>321</v>
      </c>
      <c r="F686" s="14" t="s">
        <v>70</v>
      </c>
      <c r="G686" s="14" t="s">
        <v>261</v>
      </c>
      <c r="H686" s="13">
        <v>3.0</v>
      </c>
      <c r="I686" s="14" t="s">
        <v>42</v>
      </c>
      <c r="J686" s="15" t="s">
        <v>2113</v>
      </c>
      <c r="K686" s="14" t="str">
        <f t="shared" si="1"/>
        <v>07</v>
      </c>
      <c r="L686" s="14" t="s">
        <v>2114</v>
      </c>
      <c r="M686" s="14" t="s">
        <v>2355</v>
      </c>
      <c r="N686" s="14" t="s">
        <v>2356</v>
      </c>
      <c r="O686" s="16">
        <v>46290.0</v>
      </c>
      <c r="P686" s="14" t="s">
        <v>2357</v>
      </c>
      <c r="Q686" s="16">
        <v>46273.0</v>
      </c>
    </row>
    <row r="687">
      <c r="A687" s="13">
        <v>686.0</v>
      </c>
      <c r="B687" s="14" t="s">
        <v>1375</v>
      </c>
      <c r="C687" s="14" t="s">
        <v>1376</v>
      </c>
      <c r="D687" s="14" t="s">
        <v>1377</v>
      </c>
      <c r="E687" s="14" t="s">
        <v>1378</v>
      </c>
      <c r="F687" s="14" t="s">
        <v>207</v>
      </c>
      <c r="G687" s="14" t="s">
        <v>297</v>
      </c>
      <c r="H687" s="13">
        <v>3.0</v>
      </c>
      <c r="I687" s="14" t="s">
        <v>61</v>
      </c>
      <c r="J687" s="15" t="s">
        <v>2113</v>
      </c>
      <c r="K687" s="14" t="str">
        <f t="shared" si="1"/>
        <v>07</v>
      </c>
      <c r="L687" s="14" t="s">
        <v>2114</v>
      </c>
      <c r="M687" s="14" t="s">
        <v>2358</v>
      </c>
      <c r="N687" s="14" t="s">
        <v>2359</v>
      </c>
      <c r="O687" s="14" t="s">
        <v>64</v>
      </c>
      <c r="P687" s="14" t="s">
        <v>2360</v>
      </c>
      <c r="Q687" s="16">
        <v>46279.0</v>
      </c>
    </row>
    <row r="688">
      <c r="A688" s="13">
        <v>687.0</v>
      </c>
      <c r="B688" s="14" t="s">
        <v>1680</v>
      </c>
      <c r="C688" s="14" t="s">
        <v>1681</v>
      </c>
      <c r="D688" s="14" t="s">
        <v>1682</v>
      </c>
      <c r="E688" s="14" t="s">
        <v>1683</v>
      </c>
      <c r="F688" s="14" t="s">
        <v>207</v>
      </c>
      <c r="G688" s="14" t="s">
        <v>297</v>
      </c>
      <c r="H688" s="13">
        <v>3.0</v>
      </c>
      <c r="I688" s="14" t="s">
        <v>42</v>
      </c>
      <c r="J688" s="15" t="s">
        <v>2113</v>
      </c>
      <c r="K688" s="14" t="str">
        <f t="shared" si="1"/>
        <v>07</v>
      </c>
      <c r="L688" s="14" t="s">
        <v>2114</v>
      </c>
      <c r="M688" s="14" t="s">
        <v>2361</v>
      </c>
      <c r="N688" s="14" t="s">
        <v>2362</v>
      </c>
      <c r="O688" s="16">
        <v>46303.0</v>
      </c>
      <c r="Q688" s="16">
        <v>46238.0</v>
      </c>
    </row>
    <row r="689">
      <c r="A689" s="13">
        <v>688.0</v>
      </c>
      <c r="B689" s="14" t="s">
        <v>1382</v>
      </c>
      <c r="C689" s="14" t="s">
        <v>1383</v>
      </c>
      <c r="D689" s="14" t="s">
        <v>1384</v>
      </c>
      <c r="E689" s="14" t="s">
        <v>1385</v>
      </c>
      <c r="F689" s="14" t="s">
        <v>60</v>
      </c>
      <c r="G689" s="14" t="s">
        <v>297</v>
      </c>
      <c r="H689" s="13">
        <v>3.0</v>
      </c>
      <c r="I689" s="14" t="s">
        <v>42</v>
      </c>
      <c r="J689" s="15" t="s">
        <v>2113</v>
      </c>
      <c r="K689" s="14" t="str">
        <f t="shared" si="1"/>
        <v>07</v>
      </c>
      <c r="L689" s="14" t="s">
        <v>2114</v>
      </c>
      <c r="M689" s="14" t="s">
        <v>2363</v>
      </c>
      <c r="N689" s="14" t="s">
        <v>2364</v>
      </c>
      <c r="O689" s="16">
        <v>46302.0</v>
      </c>
      <c r="Q689" s="16">
        <v>46238.0</v>
      </c>
    </row>
    <row r="690">
      <c r="A690" s="13">
        <v>689.0</v>
      </c>
      <c r="B690" s="14" t="s">
        <v>2365</v>
      </c>
      <c r="C690" s="14" t="s">
        <v>2366</v>
      </c>
      <c r="D690" s="14" t="s">
        <v>2367</v>
      </c>
      <c r="E690" s="14" t="s">
        <v>2368</v>
      </c>
      <c r="F690" s="14" t="s">
        <v>154</v>
      </c>
      <c r="G690" s="14" t="s">
        <v>297</v>
      </c>
      <c r="H690" s="13">
        <v>3.0</v>
      </c>
      <c r="I690" s="14" t="s">
        <v>61</v>
      </c>
      <c r="J690" s="15" t="s">
        <v>2113</v>
      </c>
      <c r="K690" s="14" t="str">
        <f t="shared" si="1"/>
        <v>07</v>
      </c>
      <c r="L690" s="14" t="s">
        <v>2114</v>
      </c>
      <c r="M690" s="14" t="s">
        <v>2369</v>
      </c>
      <c r="N690" s="14" t="s">
        <v>2370</v>
      </c>
      <c r="O690" s="14" t="s">
        <v>64</v>
      </c>
      <c r="P690" s="14" t="s">
        <v>2371</v>
      </c>
      <c r="Q690" s="16">
        <v>46239.0</v>
      </c>
    </row>
    <row r="691">
      <c r="A691" s="13">
        <v>690.0</v>
      </c>
      <c r="B691" s="14" t="s">
        <v>1389</v>
      </c>
      <c r="C691" s="14" t="s">
        <v>1390</v>
      </c>
      <c r="D691" s="14" t="s">
        <v>1391</v>
      </c>
      <c r="E691" s="14" t="s">
        <v>1392</v>
      </c>
      <c r="F691" s="14" t="s">
        <v>70</v>
      </c>
      <c r="G691" s="14" t="s">
        <v>297</v>
      </c>
      <c r="H691" s="13">
        <v>3.0</v>
      </c>
      <c r="I691" s="14" t="s">
        <v>42</v>
      </c>
      <c r="J691" s="15" t="s">
        <v>2113</v>
      </c>
      <c r="K691" s="14" t="str">
        <f t="shared" si="1"/>
        <v>07</v>
      </c>
      <c r="L691" s="14" t="s">
        <v>2114</v>
      </c>
      <c r="M691" s="14" t="s">
        <v>2372</v>
      </c>
      <c r="N691" s="14" t="s">
        <v>2373</v>
      </c>
      <c r="O691" s="16">
        <v>46301.0</v>
      </c>
      <c r="Q691" s="16">
        <v>46238.0</v>
      </c>
    </row>
    <row r="692">
      <c r="A692" s="13">
        <v>691.0</v>
      </c>
      <c r="B692" s="14" t="s">
        <v>1688</v>
      </c>
      <c r="C692" s="14" t="s">
        <v>1689</v>
      </c>
      <c r="D692" s="14" t="s">
        <v>1690</v>
      </c>
      <c r="E692" s="14" t="s">
        <v>1691</v>
      </c>
      <c r="F692" s="14" t="s">
        <v>40</v>
      </c>
      <c r="G692" s="14" t="s">
        <v>329</v>
      </c>
      <c r="H692" s="13">
        <v>3.0</v>
      </c>
      <c r="I692" s="14" t="s">
        <v>61</v>
      </c>
      <c r="J692" s="15" t="s">
        <v>2113</v>
      </c>
      <c r="K692" s="14" t="str">
        <f t="shared" si="1"/>
        <v>07</v>
      </c>
      <c r="L692" s="14" t="s">
        <v>2114</v>
      </c>
      <c r="M692" s="14" t="s">
        <v>2374</v>
      </c>
      <c r="N692" s="14" t="s">
        <v>2102</v>
      </c>
      <c r="O692" s="14" t="s">
        <v>64</v>
      </c>
      <c r="P692" s="14" t="s">
        <v>2375</v>
      </c>
      <c r="Q692" s="16">
        <v>46284.0</v>
      </c>
    </row>
    <row r="693">
      <c r="A693" s="13">
        <v>692.0</v>
      </c>
      <c r="B693" s="14" t="s">
        <v>996</v>
      </c>
      <c r="C693" s="14" t="s">
        <v>997</v>
      </c>
      <c r="D693" s="14" t="s">
        <v>998</v>
      </c>
      <c r="E693" s="14" t="s">
        <v>999</v>
      </c>
      <c r="F693" s="14" t="s">
        <v>162</v>
      </c>
      <c r="G693" s="14" t="s">
        <v>329</v>
      </c>
      <c r="H693" s="13">
        <v>3.0</v>
      </c>
      <c r="I693" s="14" t="s">
        <v>42</v>
      </c>
      <c r="J693" s="15" t="s">
        <v>2113</v>
      </c>
      <c r="K693" s="14" t="str">
        <f t="shared" si="1"/>
        <v>07</v>
      </c>
      <c r="L693" s="14" t="s">
        <v>2114</v>
      </c>
      <c r="M693" s="14" t="s">
        <v>2376</v>
      </c>
      <c r="N693" s="14" t="s">
        <v>2377</v>
      </c>
      <c r="O693" s="16">
        <v>46292.0</v>
      </c>
      <c r="Q693" s="16">
        <v>46261.0</v>
      </c>
    </row>
    <row r="694">
      <c r="A694" s="13">
        <v>693.0</v>
      </c>
      <c r="B694" s="14" t="s">
        <v>539</v>
      </c>
      <c r="C694" s="14" t="s">
        <v>540</v>
      </c>
      <c r="D694" s="14" t="s">
        <v>541</v>
      </c>
      <c r="E694" s="14" t="s">
        <v>542</v>
      </c>
      <c r="F694" s="14" t="s">
        <v>543</v>
      </c>
      <c r="G694" s="14" t="s">
        <v>329</v>
      </c>
      <c r="H694" s="13">
        <v>3.0</v>
      </c>
      <c r="I694" s="14" t="s">
        <v>61</v>
      </c>
      <c r="J694" s="15" t="s">
        <v>2113</v>
      </c>
      <c r="K694" s="14" t="str">
        <f t="shared" si="1"/>
        <v>07</v>
      </c>
      <c r="L694" s="14" t="s">
        <v>2114</v>
      </c>
      <c r="M694" s="14" t="s">
        <v>2378</v>
      </c>
      <c r="N694" s="14" t="s">
        <v>2379</v>
      </c>
      <c r="O694" s="14" t="s">
        <v>64</v>
      </c>
      <c r="P694" s="14" t="s">
        <v>2380</v>
      </c>
      <c r="Q694" s="16">
        <v>46262.0</v>
      </c>
    </row>
    <row r="695">
      <c r="A695" s="13">
        <v>694.0</v>
      </c>
      <c r="B695" s="14" t="s">
        <v>340</v>
      </c>
      <c r="C695" s="14" t="s">
        <v>341</v>
      </c>
      <c r="D695" s="14" t="s">
        <v>342</v>
      </c>
      <c r="E695" s="14" t="s">
        <v>343</v>
      </c>
      <c r="F695" s="14" t="s">
        <v>207</v>
      </c>
      <c r="G695" s="14" t="s">
        <v>329</v>
      </c>
      <c r="H695" s="13">
        <v>3.0</v>
      </c>
      <c r="I695" s="14" t="s">
        <v>42</v>
      </c>
      <c r="J695" s="15" t="s">
        <v>2113</v>
      </c>
      <c r="K695" s="14" t="str">
        <f t="shared" si="1"/>
        <v>07</v>
      </c>
      <c r="L695" s="14" t="s">
        <v>2114</v>
      </c>
      <c r="M695" s="14" t="s">
        <v>2381</v>
      </c>
      <c r="N695" s="14" t="s">
        <v>2111</v>
      </c>
      <c r="O695" s="16">
        <v>46292.0</v>
      </c>
      <c r="P695" s="14" t="s">
        <v>2382</v>
      </c>
      <c r="Q695" s="16">
        <v>46275.0</v>
      </c>
    </row>
  </sheetData>
  <mergeCells count="236">
    <mergeCell ref="O601:P601"/>
    <mergeCell ref="O605:P605"/>
    <mergeCell ref="O609:P609"/>
    <mergeCell ref="O626:P626"/>
    <mergeCell ref="O631:P631"/>
    <mergeCell ref="O636:P636"/>
    <mergeCell ref="O641:P641"/>
    <mergeCell ref="O642:P642"/>
    <mergeCell ref="O643:P643"/>
    <mergeCell ref="O646:P646"/>
    <mergeCell ref="O651:P651"/>
    <mergeCell ref="O652:P652"/>
    <mergeCell ref="O656:P656"/>
    <mergeCell ref="O660:P660"/>
    <mergeCell ref="O423:P423"/>
    <mergeCell ref="O431:P431"/>
    <mergeCell ref="O436:P436"/>
    <mergeCell ref="O439:P439"/>
    <mergeCell ref="O441:P441"/>
    <mergeCell ref="O447:P447"/>
    <mergeCell ref="O449:P449"/>
    <mergeCell ref="O450:P450"/>
    <mergeCell ref="O452:P452"/>
    <mergeCell ref="O454:P454"/>
    <mergeCell ref="O456:P456"/>
    <mergeCell ref="O457:P457"/>
    <mergeCell ref="O458:P458"/>
    <mergeCell ref="O460:P460"/>
    <mergeCell ref="O467:P467"/>
    <mergeCell ref="O470:P470"/>
    <mergeCell ref="O471:P471"/>
    <mergeCell ref="O472:P472"/>
    <mergeCell ref="O473:P473"/>
    <mergeCell ref="O474:P474"/>
    <mergeCell ref="O476:P476"/>
    <mergeCell ref="O481:P481"/>
    <mergeCell ref="O487:P487"/>
    <mergeCell ref="O488:P488"/>
    <mergeCell ref="O489:P489"/>
    <mergeCell ref="O498:P498"/>
    <mergeCell ref="O501:P501"/>
    <mergeCell ref="O505:P505"/>
    <mergeCell ref="O506:P506"/>
    <mergeCell ref="O507:P507"/>
    <mergeCell ref="O508:P508"/>
    <mergeCell ref="O510:P510"/>
    <mergeCell ref="O532:P532"/>
    <mergeCell ref="O534:P534"/>
    <mergeCell ref="O536:P536"/>
    <mergeCell ref="O537:P537"/>
    <mergeCell ref="O538:P538"/>
    <mergeCell ref="O539:P539"/>
    <mergeCell ref="O540:P540"/>
    <mergeCell ref="O543:P543"/>
    <mergeCell ref="O550:P550"/>
    <mergeCell ref="O553:P553"/>
    <mergeCell ref="O679:P679"/>
    <mergeCell ref="O688:P688"/>
    <mergeCell ref="O689:P689"/>
    <mergeCell ref="O691:P691"/>
    <mergeCell ref="O693:P693"/>
    <mergeCell ref="O663:P663"/>
    <mergeCell ref="O664:P664"/>
    <mergeCell ref="O666:P666"/>
    <mergeCell ref="O667:P667"/>
    <mergeCell ref="O672:P672"/>
    <mergeCell ref="O677:P677"/>
    <mergeCell ref="O678:P678"/>
    <mergeCell ref="O102:P102"/>
    <mergeCell ref="O103:P103"/>
    <mergeCell ref="O104:P104"/>
    <mergeCell ref="O108:P108"/>
    <mergeCell ref="O109:P109"/>
    <mergeCell ref="O111:P111"/>
    <mergeCell ref="O117:P117"/>
    <mergeCell ref="O118:P118"/>
    <mergeCell ref="O122:P122"/>
    <mergeCell ref="O123:P123"/>
    <mergeCell ref="O124:P124"/>
    <mergeCell ref="O125:P125"/>
    <mergeCell ref="O127:P127"/>
    <mergeCell ref="O128:P128"/>
    <mergeCell ref="O2:P2"/>
    <mergeCell ref="O8:P8"/>
    <mergeCell ref="O9:P9"/>
    <mergeCell ref="O10:P10"/>
    <mergeCell ref="O14:P14"/>
    <mergeCell ref="O16:P16"/>
    <mergeCell ref="O19:P19"/>
    <mergeCell ref="O20:P20"/>
    <mergeCell ref="O21:P21"/>
    <mergeCell ref="O23:P23"/>
    <mergeCell ref="O25:P25"/>
    <mergeCell ref="O28:P28"/>
    <mergeCell ref="O29:P29"/>
    <mergeCell ref="O30:P30"/>
    <mergeCell ref="O31:P31"/>
    <mergeCell ref="O32:P32"/>
    <mergeCell ref="O34:P34"/>
    <mergeCell ref="O41:P41"/>
    <mergeCell ref="O44:P44"/>
    <mergeCell ref="O47:P47"/>
    <mergeCell ref="O49:P49"/>
    <mergeCell ref="O50:P50"/>
    <mergeCell ref="O51:P51"/>
    <mergeCell ref="O53:P53"/>
    <mergeCell ref="O54:P54"/>
    <mergeCell ref="O55:P55"/>
    <mergeCell ref="O56:P56"/>
    <mergeCell ref="O58:P58"/>
    <mergeCell ref="O60:P60"/>
    <mergeCell ref="O63:P63"/>
    <mergeCell ref="O66:P66"/>
    <mergeCell ref="O69:P69"/>
    <mergeCell ref="O73:P73"/>
    <mergeCell ref="O75:P75"/>
    <mergeCell ref="O80:P80"/>
    <mergeCell ref="O82:P82"/>
    <mergeCell ref="O85:P85"/>
    <mergeCell ref="O86:P86"/>
    <mergeCell ref="O91:P91"/>
    <mergeCell ref="O92:P92"/>
    <mergeCell ref="O99:P99"/>
    <mergeCell ref="O101:P101"/>
    <mergeCell ref="O130:P130"/>
    <mergeCell ref="O137:P137"/>
    <mergeCell ref="O144:P144"/>
    <mergeCell ref="O149:P149"/>
    <mergeCell ref="O150:P150"/>
    <mergeCell ref="O151:P151"/>
    <mergeCell ref="O152:P152"/>
    <mergeCell ref="O277:P277"/>
    <mergeCell ref="O282:P282"/>
    <mergeCell ref="O287:P287"/>
    <mergeCell ref="O289:P289"/>
    <mergeCell ref="O290:P290"/>
    <mergeCell ref="O297:P297"/>
    <mergeCell ref="O299:P299"/>
    <mergeCell ref="O300:P300"/>
    <mergeCell ref="O308:P308"/>
    <mergeCell ref="O313:P313"/>
    <mergeCell ref="O314:P314"/>
    <mergeCell ref="O316:P316"/>
    <mergeCell ref="O317:P317"/>
    <mergeCell ref="O318:P318"/>
    <mergeCell ref="O320:P320"/>
    <mergeCell ref="O321:P321"/>
    <mergeCell ref="O322:P322"/>
    <mergeCell ref="O323:P323"/>
    <mergeCell ref="O325:P325"/>
    <mergeCell ref="O326:P326"/>
    <mergeCell ref="O328:P328"/>
    <mergeCell ref="O329:P329"/>
    <mergeCell ref="O330:P330"/>
    <mergeCell ref="O331:P331"/>
    <mergeCell ref="O333:P333"/>
    <mergeCell ref="O335:P335"/>
    <mergeCell ref="O344:P344"/>
    <mergeCell ref="O347:P347"/>
    <mergeCell ref="O353:P353"/>
    <mergeCell ref="O365:P365"/>
    <mergeCell ref="O366:P366"/>
    <mergeCell ref="O369:P369"/>
    <mergeCell ref="O374:P374"/>
    <mergeCell ref="O375:P375"/>
    <mergeCell ref="O381:P381"/>
    <mergeCell ref="O382:P382"/>
    <mergeCell ref="O387:P387"/>
    <mergeCell ref="O388:P388"/>
    <mergeCell ref="O391:P391"/>
    <mergeCell ref="O394:P394"/>
    <mergeCell ref="O395:P395"/>
    <mergeCell ref="O398:P398"/>
    <mergeCell ref="O154:P154"/>
    <mergeCell ref="O155:P155"/>
    <mergeCell ref="O156:P156"/>
    <mergeCell ref="O159:P159"/>
    <mergeCell ref="O169:P169"/>
    <mergeCell ref="O178:P178"/>
    <mergeCell ref="O179:P179"/>
    <mergeCell ref="O181:P181"/>
    <mergeCell ref="O187:P187"/>
    <mergeCell ref="O190:P190"/>
    <mergeCell ref="O199:P199"/>
    <mergeCell ref="O200:P200"/>
    <mergeCell ref="O201:P201"/>
    <mergeCell ref="O202:P202"/>
    <mergeCell ref="O204:P204"/>
    <mergeCell ref="O207:P207"/>
    <mergeCell ref="O208:P208"/>
    <mergeCell ref="O211:P211"/>
    <mergeCell ref="O213:P213"/>
    <mergeCell ref="O214:P214"/>
    <mergeCell ref="O217:P217"/>
    <mergeCell ref="O218:P218"/>
    <mergeCell ref="O220:P220"/>
    <mergeCell ref="O225:P225"/>
    <mergeCell ref="O226:P226"/>
    <mergeCell ref="O230:P230"/>
    <mergeCell ref="O236:P236"/>
    <mergeCell ref="O239:P239"/>
    <mergeCell ref="O240:P240"/>
    <mergeCell ref="O241:P241"/>
    <mergeCell ref="O242:P242"/>
    <mergeCell ref="O245:P245"/>
    <mergeCell ref="O247:P247"/>
    <mergeCell ref="O249:P249"/>
    <mergeCell ref="O255:P255"/>
    <mergeCell ref="O260:P260"/>
    <mergeCell ref="O262:P262"/>
    <mergeCell ref="O266:P266"/>
    <mergeCell ref="O268:P268"/>
    <mergeCell ref="O270:P270"/>
    <mergeCell ref="O271:P271"/>
    <mergeCell ref="O275:P275"/>
    <mergeCell ref="O401:P401"/>
    <mergeCell ref="O403:P403"/>
    <mergeCell ref="O404:P404"/>
    <mergeCell ref="O411:P411"/>
    <mergeCell ref="O412:P412"/>
    <mergeCell ref="O415:P415"/>
    <mergeCell ref="O416:P416"/>
    <mergeCell ref="O554:P554"/>
    <mergeCell ref="O556:P556"/>
    <mergeCell ref="O557:P557"/>
    <mergeCell ref="O558:P558"/>
    <mergeCell ref="O560:P560"/>
    <mergeCell ref="O564:P564"/>
    <mergeCell ref="O567:P567"/>
    <mergeCell ref="O568:P568"/>
    <mergeCell ref="O572:P572"/>
    <mergeCell ref="O577:P577"/>
    <mergeCell ref="O578:P578"/>
    <mergeCell ref="O579:P579"/>
    <mergeCell ref="O581:P581"/>
    <mergeCell ref="O599:P59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13"/>
  </cols>
  <sheetData>
    <row r="1" ht="22.5" customHeight="1">
      <c r="A1" s="2" t="s">
        <v>0</v>
      </c>
      <c r="B1" s="2" t="s">
        <v>1</v>
      </c>
      <c r="C1" s="2" t="s">
        <v>2</v>
      </c>
      <c r="D1" s="2" t="s">
        <v>3</v>
      </c>
      <c r="E1" s="2" t="s">
        <v>4</v>
      </c>
      <c r="F1" s="1" t="s">
        <v>5</v>
      </c>
      <c r="G1" s="1" t="s">
        <v>6</v>
      </c>
      <c r="H1" s="1" t="s">
        <v>7</v>
      </c>
      <c r="I1" s="1" t="s">
        <v>8</v>
      </c>
    </row>
    <row r="2" ht="22.5" customHeight="1">
      <c r="A2" s="4">
        <v>1.0</v>
      </c>
      <c r="B2" s="6" t="s">
        <v>9</v>
      </c>
      <c r="C2" s="8">
        <v>202.0</v>
      </c>
      <c r="D2" s="8">
        <v>123.0</v>
      </c>
      <c r="E2" s="10">
        <f t="shared" ref="E2:E39" si="1">SUM(C2:D2)</f>
        <v>325</v>
      </c>
      <c r="F2" s="10">
        <f>IFERROR(__xludf.DUMMYFUNCTION("LET(
  data,IMPORTRANGE(""https://docs.google.com/spreadsheets/d/1_thWXf4hx8S9vGa0__p04pYap2TSDuiDgV9UgOjxxDE"",""clean_data!J2:J""),
  COUNTIFS(INDEX(data,0,1),B2)
)"),4.0)</f>
        <v>4</v>
      </c>
      <c r="G2" s="10">
        <f>IFERROR(__xludf.DUMMYFUNCTION("LET(
  data,IMPORTRANGE(""https://docs.google.com/spreadsheets/d/1HbinahSenEkUn_jAbl5SsmjID2R6hW9RxIcyq5pfdEw"",""clean_data!S2:T""),
  COUNTIFS(INDEX(data,0,1),B2,INDEX(data,0,2),""Kategori I"")
)"),0.0)</f>
        <v>0</v>
      </c>
      <c r="H2" s="10">
        <f>IFERROR(__xludf.DUMMYFUNCTION("LET(
  data,IMPORTRANGE(""https://docs.google.com/spreadsheets/d/1HbinahSenEkUn_jAbl5SsmjID2R6hW9RxIcyq5pfdEw"",""clean_data!S2:T""),
  COUNTIFS(INDEX(data,0,1),B2,INDEX(data,0,2),""Kategori II"")
)"),0.0)</f>
        <v>0</v>
      </c>
      <c r="I2" s="10">
        <f>IFERROR(__xludf.DUMMYFUNCTION("LET(
  data,IMPORTRANGE(""https://docs.google.com/spreadsheets/d/1HbinahSenEkUn_jAbl5SsmjID2R6hW9RxIcyq5pfdEw"",""clean_data!S2:T""),
  COUNTIFS(INDEX(data,0,1),B2,INDEX(data,0,2),""Kategori III"")
)"),0.0)</f>
        <v>0</v>
      </c>
    </row>
    <row r="3" ht="22.5" customHeight="1">
      <c r="A3" s="4">
        <v>2.0</v>
      </c>
      <c r="B3" s="6" t="s">
        <v>11</v>
      </c>
      <c r="C3" s="8">
        <v>278.0</v>
      </c>
      <c r="D3" s="8">
        <v>199.0</v>
      </c>
      <c r="E3" s="10">
        <f t="shared" si="1"/>
        <v>477</v>
      </c>
      <c r="F3" s="10">
        <f>IFERROR(__xludf.DUMMYFUNCTION("LET(
  data,IMPORTRANGE(""https://docs.google.com/spreadsheets/d/1_thWXf4hx8S9vGa0__p04pYap2TSDuiDgV9UgOjxxDE"",""clean_data!J2:J""),
  COUNTIFS(INDEX(data,0,1),B3)
)"),13.0)</f>
        <v>13</v>
      </c>
      <c r="G3" s="10">
        <f>IFERROR(__xludf.DUMMYFUNCTION("LET(
  data,IMPORTRANGE(""https://docs.google.com/spreadsheets/d/1HbinahSenEkUn_jAbl5SsmjID2R6hW9RxIcyq5pfdEw"",""clean_data!S2:T""),
  COUNTIFS(INDEX(data,0,1),B3,INDEX(data,0,2),""Kategori I"")
)"),4.0)</f>
        <v>4</v>
      </c>
      <c r="H3" s="10">
        <f>IFERROR(__xludf.DUMMYFUNCTION("LET(
  data,IMPORTRANGE(""https://docs.google.com/spreadsheets/d/1HbinahSenEkUn_jAbl5SsmjID2R6hW9RxIcyq5pfdEw"",""clean_data!S2:T""),
  COUNTIFS(INDEX(data,0,1),B3,INDEX(data,0,2),""Kategori II"")
)"),10.0)</f>
        <v>10</v>
      </c>
      <c r="I3" s="10">
        <f>IFERROR(__xludf.DUMMYFUNCTION("LET(
  data,IMPORTRANGE(""https://docs.google.com/spreadsheets/d/1HbinahSenEkUn_jAbl5SsmjID2R6hW9RxIcyq5pfdEw"",""clean_data!S2:T""),
  COUNTIFS(INDEX(data,0,1),B3,INDEX(data,0,2),""Kategori III"")
)"),14.0)</f>
        <v>14</v>
      </c>
    </row>
    <row r="4" ht="22.5" customHeight="1">
      <c r="A4" s="4">
        <v>3.0</v>
      </c>
      <c r="B4" s="6" t="s">
        <v>12</v>
      </c>
      <c r="C4" s="8">
        <v>243.0</v>
      </c>
      <c r="D4" s="8">
        <v>164.0</v>
      </c>
      <c r="E4" s="10">
        <f t="shared" si="1"/>
        <v>407</v>
      </c>
      <c r="F4" s="10">
        <f>IFERROR(__xludf.DUMMYFUNCTION("LET(
  data,IMPORTRANGE(""https://docs.google.com/spreadsheets/d/1_thWXf4hx8S9vGa0__p04pYap2TSDuiDgV9UgOjxxDE"",""clean_data!J2:J""),
  COUNTIFS(INDEX(data,0,1),B4)
)"),8.0)</f>
        <v>8</v>
      </c>
      <c r="G4" s="10">
        <f>IFERROR(__xludf.DUMMYFUNCTION("LET(
  data,IMPORTRANGE(""https://docs.google.com/spreadsheets/d/1HbinahSenEkUn_jAbl5SsmjID2R6hW9RxIcyq5pfdEw"",""clean_data!S2:T""),
  COUNTIFS(INDEX(data,0,1),B4,INDEX(data,0,2),""Kategori I"")
)"),9.0)</f>
        <v>9</v>
      </c>
      <c r="H4" s="10">
        <f>IFERROR(__xludf.DUMMYFUNCTION("LET(
  data,IMPORTRANGE(""https://docs.google.com/spreadsheets/d/1HbinahSenEkUn_jAbl5SsmjID2R6hW9RxIcyq5pfdEw"",""clean_data!S2:T""),
  COUNTIFS(INDEX(data,0,1),B4,INDEX(data,0,2),""Kategori II"")
)"),22.0)</f>
        <v>22</v>
      </c>
      <c r="I4" s="10">
        <f>IFERROR(__xludf.DUMMYFUNCTION("LET(
  data,IMPORTRANGE(""https://docs.google.com/spreadsheets/d/1HbinahSenEkUn_jAbl5SsmjID2R6hW9RxIcyq5pfdEw"",""clean_data!S2:T""),
  COUNTIFS(INDEX(data,0,1),B4,INDEX(data,0,2),""Kategori III"")
)"),28.0)</f>
        <v>28</v>
      </c>
    </row>
    <row r="5" ht="22.5" customHeight="1">
      <c r="A5" s="4">
        <v>4.0</v>
      </c>
      <c r="B5" s="6" t="s">
        <v>13</v>
      </c>
      <c r="C5" s="8">
        <v>222.0</v>
      </c>
      <c r="D5" s="8">
        <v>143.0</v>
      </c>
      <c r="E5" s="10">
        <f t="shared" si="1"/>
        <v>365</v>
      </c>
      <c r="F5" s="10">
        <f>IFERROR(__xludf.DUMMYFUNCTION("LET(
  data,IMPORTRANGE(""https://docs.google.com/spreadsheets/d/1_thWXf4hx8S9vGa0__p04pYap2TSDuiDgV9UgOjxxDE"",""clean_data!J2:J""),
  COUNTIFS(INDEX(data,0,1),B5)
)"),8.0)</f>
        <v>8</v>
      </c>
      <c r="G5" s="10">
        <f>IFERROR(__xludf.DUMMYFUNCTION("LET(
  data,IMPORTRANGE(""https://docs.google.com/spreadsheets/d/1HbinahSenEkUn_jAbl5SsmjID2R6hW9RxIcyq5pfdEw"",""clean_data!S2:T""),
  COUNTIFS(INDEX(data,0,1),B5,INDEX(data,0,2),""Kategori I"")
)"),0.0)</f>
        <v>0</v>
      </c>
      <c r="H5" s="10">
        <f>IFERROR(__xludf.DUMMYFUNCTION("LET(
  data,IMPORTRANGE(""https://docs.google.com/spreadsheets/d/1HbinahSenEkUn_jAbl5SsmjID2R6hW9RxIcyq5pfdEw"",""clean_data!S2:T""),
  COUNTIFS(INDEX(data,0,1),B5,INDEX(data,0,2),""Kategori II"")
)"),0.0)</f>
        <v>0</v>
      </c>
      <c r="I5" s="10">
        <f>IFERROR(__xludf.DUMMYFUNCTION("LET(
  data,IMPORTRANGE(""https://docs.google.com/spreadsheets/d/1HbinahSenEkUn_jAbl5SsmjID2R6hW9RxIcyq5pfdEw"",""clean_data!S2:T""),
  COUNTIFS(INDEX(data,0,1),B5,INDEX(data,0,2),""Kategori III"")
)"),0.0)</f>
        <v>0</v>
      </c>
    </row>
    <row r="6" ht="22.5" customHeight="1">
      <c r="A6" s="4">
        <v>5.0</v>
      </c>
      <c r="B6" s="6" t="s">
        <v>14</v>
      </c>
      <c r="C6" s="8">
        <v>200.0</v>
      </c>
      <c r="D6" s="8">
        <v>121.0</v>
      </c>
      <c r="E6" s="10">
        <f t="shared" si="1"/>
        <v>321</v>
      </c>
      <c r="F6" s="10">
        <f>IFERROR(__xludf.DUMMYFUNCTION("LET(
  data,IMPORTRANGE(""https://docs.google.com/spreadsheets/d/1_thWXf4hx8S9vGa0__p04pYap2TSDuiDgV9UgOjxxDE"",""clean_data!J2:J""),
  COUNTIFS(INDEX(data,0,1),B6)
)"),10.0)</f>
        <v>10</v>
      </c>
      <c r="G6" s="10">
        <f>IFERROR(__xludf.DUMMYFUNCTION("LET(
  data,IMPORTRANGE(""https://docs.google.com/spreadsheets/d/1HbinahSenEkUn_jAbl5SsmjID2R6hW9RxIcyq5pfdEw"",""clean_data!S2:T""),
  COUNTIFS(INDEX(data,0,1),B6,INDEX(data,0,2),""Kategori I"")
)"),0.0)</f>
        <v>0</v>
      </c>
      <c r="H6" s="10">
        <f>IFERROR(__xludf.DUMMYFUNCTION("LET(
  data,IMPORTRANGE(""https://docs.google.com/spreadsheets/d/1HbinahSenEkUn_jAbl5SsmjID2R6hW9RxIcyq5pfdEw"",""clean_data!S2:T""),
  COUNTIFS(INDEX(data,0,1),B6,INDEX(data,0,2),""Kategori II"")
)"),0.0)</f>
        <v>0</v>
      </c>
      <c r="I6" s="10">
        <f>IFERROR(__xludf.DUMMYFUNCTION("LET(
  data,IMPORTRANGE(""https://docs.google.com/spreadsheets/d/1HbinahSenEkUn_jAbl5SsmjID2R6hW9RxIcyq5pfdEw"",""clean_data!S2:T""),
  COUNTIFS(INDEX(data,0,1),B6,INDEX(data,0,2),""Kategori III"")
)"),0.0)</f>
        <v>0</v>
      </c>
    </row>
    <row r="7" ht="22.5" customHeight="1">
      <c r="A7" s="4">
        <v>6.0</v>
      </c>
      <c r="B7" s="6" t="s">
        <v>15</v>
      </c>
      <c r="C7" s="8">
        <v>200.0</v>
      </c>
      <c r="D7" s="8">
        <v>121.0</v>
      </c>
      <c r="E7" s="10">
        <f t="shared" si="1"/>
        <v>321</v>
      </c>
      <c r="F7" s="10">
        <f>IFERROR(__xludf.DUMMYFUNCTION("LET(
  data,IMPORTRANGE(""https://docs.google.com/spreadsheets/d/1_thWXf4hx8S9vGa0__p04pYap2TSDuiDgV9UgOjxxDE"",""clean_data!J2:J""),
  COUNTIFS(INDEX(data,0,1),B7)
)"),5.0)</f>
        <v>5</v>
      </c>
      <c r="G7" s="10">
        <f>IFERROR(__xludf.DUMMYFUNCTION("LET(
  data,IMPORTRANGE(""https://docs.google.com/spreadsheets/d/1HbinahSenEkUn_jAbl5SsmjID2R6hW9RxIcyq5pfdEw"",""clean_data!S2:T""),
  COUNTIFS(INDEX(data,0,1),B7,INDEX(data,0,2),""Kategori I"")
)"),0.0)</f>
        <v>0</v>
      </c>
      <c r="H7" s="10">
        <f>IFERROR(__xludf.DUMMYFUNCTION("LET(
  data,IMPORTRANGE(""https://docs.google.com/spreadsheets/d/1HbinahSenEkUn_jAbl5SsmjID2R6hW9RxIcyq5pfdEw"",""clean_data!S2:T""),
  COUNTIFS(INDEX(data,0,1),B7,INDEX(data,0,2),""Kategori II"")
)"),0.0)</f>
        <v>0</v>
      </c>
      <c r="I7" s="10">
        <f>IFERROR(__xludf.DUMMYFUNCTION("LET(
  data,IMPORTRANGE(""https://docs.google.com/spreadsheets/d/1HbinahSenEkUn_jAbl5SsmjID2R6hW9RxIcyq5pfdEw"",""clean_data!S2:T""),
  COUNTIFS(INDEX(data,0,1),B7,INDEX(data,0,2),""Kategori III"")
)"),0.0)</f>
        <v>0</v>
      </c>
    </row>
    <row r="8" ht="22.5" customHeight="1">
      <c r="A8" s="4">
        <v>7.0</v>
      </c>
      <c r="B8" s="6" t="s">
        <v>16</v>
      </c>
      <c r="C8" s="8">
        <v>232.0</v>
      </c>
      <c r="D8" s="8">
        <v>153.0</v>
      </c>
      <c r="E8" s="10">
        <f t="shared" si="1"/>
        <v>385</v>
      </c>
      <c r="F8" s="10">
        <f>IFERROR(__xludf.DUMMYFUNCTION("LET(
  data,IMPORTRANGE(""https://docs.google.com/spreadsheets/d/1_thWXf4hx8S9vGa0__p04pYap2TSDuiDgV9UgOjxxDE"",""clean_data!J2:J""),
  COUNTIFS(INDEX(data,0,1),B8)
)"),5.0)</f>
        <v>5</v>
      </c>
      <c r="G8" s="10">
        <f>IFERROR(__xludf.DUMMYFUNCTION("LET(
  data,IMPORTRANGE(""https://docs.google.com/spreadsheets/d/1HbinahSenEkUn_jAbl5SsmjID2R6hW9RxIcyq5pfdEw"",""clean_data!S2:T""),
  COUNTIFS(INDEX(data,0,1),B8,INDEX(data,0,2),""Kategori I"")
)"),0.0)</f>
        <v>0</v>
      </c>
      <c r="H8" s="10">
        <f>IFERROR(__xludf.DUMMYFUNCTION("LET(
  data,IMPORTRANGE(""https://docs.google.com/spreadsheets/d/1HbinahSenEkUn_jAbl5SsmjID2R6hW9RxIcyq5pfdEw"",""clean_data!S2:T""),
  COUNTIFS(INDEX(data,0,1),B8,INDEX(data,0,2),""Kategori II"")
)"),0.0)</f>
        <v>0</v>
      </c>
      <c r="I8" s="10">
        <f>IFERROR(__xludf.DUMMYFUNCTION("LET(
  data,IMPORTRANGE(""https://docs.google.com/spreadsheets/d/1HbinahSenEkUn_jAbl5SsmjID2R6hW9RxIcyq5pfdEw"",""clean_data!S2:T""),
  COUNTIFS(INDEX(data,0,1),B8,INDEX(data,0,2),""Kategori III"")
)"),0.0)</f>
        <v>0</v>
      </c>
    </row>
    <row r="9" ht="22.5" customHeight="1">
      <c r="A9" s="4">
        <v>8.0</v>
      </c>
      <c r="B9" s="6" t="s">
        <v>17</v>
      </c>
      <c r="C9" s="8">
        <v>286.0</v>
      </c>
      <c r="D9" s="8">
        <v>207.0</v>
      </c>
      <c r="E9" s="10">
        <f t="shared" si="1"/>
        <v>493</v>
      </c>
      <c r="F9" s="10">
        <f>IFERROR(__xludf.DUMMYFUNCTION("LET(
  data,IMPORTRANGE(""https://docs.google.com/spreadsheets/d/1_thWXf4hx8S9vGa0__p04pYap2TSDuiDgV9UgOjxxDE"",""clean_data!J2:J""),
  COUNTIFS(INDEX(data,0,1),B9)
)"),4.0)</f>
        <v>4</v>
      </c>
      <c r="G9" s="10">
        <f>IFERROR(__xludf.DUMMYFUNCTION("LET(
  data,IMPORTRANGE(""https://docs.google.com/spreadsheets/d/1HbinahSenEkUn_jAbl5SsmjID2R6hW9RxIcyq5pfdEw"",""clean_data!S2:T""),
  COUNTIFS(INDEX(data,0,1),B9,INDEX(data,0,2),""Kategori I"")
)"),0.0)</f>
        <v>0</v>
      </c>
      <c r="H9" s="10">
        <f>IFERROR(__xludf.DUMMYFUNCTION("LET(
  data,IMPORTRANGE(""https://docs.google.com/spreadsheets/d/1HbinahSenEkUn_jAbl5SsmjID2R6hW9RxIcyq5pfdEw"",""clean_data!S2:T""),
  COUNTIFS(INDEX(data,0,1),B9,INDEX(data,0,2),""Kategori II"")
)"),0.0)</f>
        <v>0</v>
      </c>
      <c r="I9" s="10">
        <f>IFERROR(__xludf.DUMMYFUNCTION("LET(
  data,IMPORTRANGE(""https://docs.google.com/spreadsheets/d/1HbinahSenEkUn_jAbl5SsmjID2R6hW9RxIcyq5pfdEw"",""clean_data!S2:T""),
  COUNTIFS(INDEX(data,0,1),B9,INDEX(data,0,2),""Kategori III"")
)"),0.0)</f>
        <v>0</v>
      </c>
    </row>
    <row r="10" ht="22.5" customHeight="1">
      <c r="A10" s="4">
        <v>9.0</v>
      </c>
      <c r="B10" s="6" t="s">
        <v>27</v>
      </c>
      <c r="C10" s="8">
        <v>289.0</v>
      </c>
      <c r="D10" s="8">
        <v>210.0</v>
      </c>
      <c r="E10" s="10">
        <f t="shared" si="1"/>
        <v>499</v>
      </c>
      <c r="F10" s="10">
        <f>IFERROR(__xludf.DUMMYFUNCTION("LET(
  data,IMPORTRANGE(""https://docs.google.com/spreadsheets/d/1_thWXf4hx8S9vGa0__p04pYap2TSDuiDgV9UgOjxxDE"",""clean_data!J2:J""),
  COUNTIFS(INDEX(data,0,1),B10)
)"),7.0)</f>
        <v>7</v>
      </c>
      <c r="G10" s="10">
        <f>IFERROR(__xludf.DUMMYFUNCTION("LET(
  data,IMPORTRANGE(""https://docs.google.com/spreadsheets/d/1HbinahSenEkUn_jAbl5SsmjID2R6hW9RxIcyq5pfdEw"",""clean_data!S2:T""),
  COUNTIFS(INDEX(data,0,1),B10,INDEX(data,0,2),""Kategori I"")
)"),4.0)</f>
        <v>4</v>
      </c>
      <c r="H10" s="10">
        <f>IFERROR(__xludf.DUMMYFUNCTION("LET(
  data,IMPORTRANGE(""https://docs.google.com/spreadsheets/d/1HbinahSenEkUn_jAbl5SsmjID2R6hW9RxIcyq5pfdEw"",""clean_data!S2:T""),
  COUNTIFS(INDEX(data,0,1),B10,INDEX(data,0,2),""Kategori II"")
)"),4.0)</f>
        <v>4</v>
      </c>
      <c r="I10" s="10">
        <f>IFERROR(__xludf.DUMMYFUNCTION("LET(
  data,IMPORTRANGE(""https://docs.google.com/spreadsheets/d/1HbinahSenEkUn_jAbl5SsmjID2R6hW9RxIcyq5pfdEw"",""clean_data!S2:T""),
  COUNTIFS(INDEX(data,0,1),B10,INDEX(data,0,2),""Kategori III"")
)"),14.0)</f>
        <v>14</v>
      </c>
    </row>
    <row r="11" ht="22.5" customHeight="1">
      <c r="A11" s="4">
        <v>10.0</v>
      </c>
      <c r="B11" s="6" t="s">
        <v>44</v>
      </c>
      <c r="C11" s="8">
        <v>259.0</v>
      </c>
      <c r="D11" s="8">
        <v>180.0</v>
      </c>
      <c r="E11" s="10">
        <f t="shared" si="1"/>
        <v>439</v>
      </c>
      <c r="F11" s="10">
        <f>IFERROR(__xludf.DUMMYFUNCTION("LET(
  data,IMPORTRANGE(""https://docs.google.com/spreadsheets/d/1_thWXf4hx8S9vGa0__p04pYap2TSDuiDgV9UgOjxxDE"",""clean_data!J2:J""),
  COUNTIFS(INDEX(data,0,1),B11)
)"),7.0)</f>
        <v>7</v>
      </c>
      <c r="G11" s="10">
        <f>IFERROR(__xludf.DUMMYFUNCTION("LET(
  data,IMPORTRANGE(""https://docs.google.com/spreadsheets/d/1HbinahSenEkUn_jAbl5SsmjID2R6hW9RxIcyq5pfdEw"",""clean_data!S2:T""),
  COUNTIFS(INDEX(data,0,1),B11,INDEX(data,0,2),""Kategori I"")
)"),3.0)</f>
        <v>3</v>
      </c>
      <c r="H11" s="10">
        <f>IFERROR(__xludf.DUMMYFUNCTION("LET(
  data,IMPORTRANGE(""https://docs.google.com/spreadsheets/d/1HbinahSenEkUn_jAbl5SsmjID2R6hW9RxIcyq5pfdEw"",""clean_data!S2:T""),
  COUNTIFS(INDEX(data,0,1),B11,INDEX(data,0,2),""Kategori II"")
)"),14.0)</f>
        <v>14</v>
      </c>
      <c r="I11" s="10">
        <f>IFERROR(__xludf.DUMMYFUNCTION("LET(
  data,IMPORTRANGE(""https://docs.google.com/spreadsheets/d/1HbinahSenEkUn_jAbl5SsmjID2R6hW9RxIcyq5pfdEw"",""clean_data!S2:T""),
  COUNTIFS(INDEX(data,0,1),B11,INDEX(data,0,2),""Kategori III"")
)"),18.0)</f>
        <v>18</v>
      </c>
    </row>
    <row r="12" ht="22.5" customHeight="1">
      <c r="A12" s="4">
        <v>11.0</v>
      </c>
      <c r="B12" s="6" t="s">
        <v>53</v>
      </c>
      <c r="C12" s="8">
        <v>688.0</v>
      </c>
      <c r="D12" s="8">
        <v>609.0</v>
      </c>
      <c r="E12" s="10">
        <f t="shared" si="1"/>
        <v>1297</v>
      </c>
      <c r="F12" s="10">
        <f>IFERROR(__xludf.DUMMYFUNCTION("LET(
  data,IMPORTRANGE(""https://docs.google.com/spreadsheets/d/1_thWXf4hx8S9vGa0__p04pYap2TSDuiDgV9UgOjxxDE"",""clean_data!J2:J""),
  COUNTIFS(INDEX(data,0,1),B12)
)"),142.0)</f>
        <v>142</v>
      </c>
      <c r="G12" s="10">
        <f>IFERROR(__xludf.DUMMYFUNCTION("LET(
  data,IMPORTRANGE(""https://docs.google.com/spreadsheets/d/1HbinahSenEkUn_jAbl5SsmjID2R6hW9RxIcyq5pfdEw"",""clean_data!S2:T""),
  COUNTIFS(INDEX(data,0,1),B12,INDEX(data,0,2),""Kategori I"")
)"),24.0)</f>
        <v>24</v>
      </c>
      <c r="H12" s="10">
        <f>IFERROR(__xludf.DUMMYFUNCTION("LET(
  data,IMPORTRANGE(""https://docs.google.com/spreadsheets/d/1HbinahSenEkUn_jAbl5SsmjID2R6hW9RxIcyq5pfdEw"",""clean_data!S2:T""),
  COUNTIFS(INDEX(data,0,1),B12,INDEX(data,0,2),""Kategori II"")
)"),55.0)</f>
        <v>55</v>
      </c>
      <c r="I12" s="10">
        <f>IFERROR(__xludf.DUMMYFUNCTION("LET(
  data,IMPORTRANGE(""https://docs.google.com/spreadsheets/d/1HbinahSenEkUn_jAbl5SsmjID2R6hW9RxIcyq5pfdEw"",""clean_data!S2:T""),
  COUNTIFS(INDEX(data,0,1),B12,INDEX(data,0,2),""Kategori III"")
)"),129.0)</f>
        <v>129</v>
      </c>
    </row>
    <row r="13" ht="22.5" customHeight="1">
      <c r="A13" s="4">
        <v>12.0</v>
      </c>
      <c r="B13" s="6" t="s">
        <v>75</v>
      </c>
      <c r="C13" s="8">
        <v>519.0</v>
      </c>
      <c r="D13" s="8">
        <v>440.0</v>
      </c>
      <c r="E13" s="10">
        <f t="shared" si="1"/>
        <v>959</v>
      </c>
      <c r="F13" s="10">
        <f>IFERROR(__xludf.DUMMYFUNCTION("LET(
  data,IMPORTRANGE(""https://docs.google.com/spreadsheets/d/1_thWXf4hx8S9vGa0__p04pYap2TSDuiDgV9UgOjxxDE"",""clean_data!J2:J""),
  COUNTIFS(INDEX(data,0,1),B13)
)"),98.0)</f>
        <v>98</v>
      </c>
      <c r="G13" s="10">
        <f>IFERROR(__xludf.DUMMYFUNCTION("LET(
  data,IMPORTRANGE(""https://docs.google.com/spreadsheets/d/1HbinahSenEkUn_jAbl5SsmjID2R6hW9RxIcyq5pfdEw"",""clean_data!S2:T""),
  COUNTIFS(INDEX(data,0,1),B13,INDEX(data,0,2),""Kategori I"")
)"),15.0)</f>
        <v>15</v>
      </c>
      <c r="H13" s="10">
        <f>IFERROR(__xludf.DUMMYFUNCTION("LET(
  data,IMPORTRANGE(""https://docs.google.com/spreadsheets/d/1HbinahSenEkUn_jAbl5SsmjID2R6hW9RxIcyq5pfdEw"",""clean_data!S2:T""),
  COUNTIFS(INDEX(data,0,1),B13,INDEX(data,0,2),""Kategori II"")
)"),49.0)</f>
        <v>49</v>
      </c>
      <c r="I13" s="10">
        <f>IFERROR(__xludf.DUMMYFUNCTION("LET(
  data,IMPORTRANGE(""https://docs.google.com/spreadsheets/d/1HbinahSenEkUn_jAbl5SsmjID2R6hW9RxIcyq5pfdEw"",""clean_data!S2:T""),
  COUNTIFS(INDEX(data,0,1),B13,INDEX(data,0,2),""Kategori III"")
)"),101.0)</f>
        <v>101</v>
      </c>
    </row>
    <row r="14" ht="22.5" customHeight="1">
      <c r="A14" s="4">
        <v>13.0</v>
      </c>
      <c r="B14" s="6" t="s">
        <v>96</v>
      </c>
      <c r="C14" s="8">
        <v>665.0</v>
      </c>
      <c r="D14" s="8">
        <v>586.0</v>
      </c>
      <c r="E14" s="10">
        <f t="shared" si="1"/>
        <v>1251</v>
      </c>
      <c r="F14" s="10">
        <f>IFERROR(__xludf.DUMMYFUNCTION("LET(
  data,IMPORTRANGE(""https://docs.google.com/spreadsheets/d/1_thWXf4hx8S9vGa0__p04pYap2TSDuiDgV9UgOjxxDE"",""clean_data!J2:J""),
  COUNTIFS(INDEX(data,0,1),B14)
)"),37.0)</f>
        <v>37</v>
      </c>
      <c r="G14" s="10">
        <f>IFERROR(__xludf.DUMMYFUNCTION("LET(
  data,IMPORTRANGE(""https://docs.google.com/spreadsheets/d/1HbinahSenEkUn_jAbl5SsmjID2R6hW9RxIcyq5pfdEw"",""clean_data!S2:T""),
  COUNTIFS(INDEX(data,0,1),B14,INDEX(data,0,2),""Kategori I"")
)"),4.0)</f>
        <v>4</v>
      </c>
      <c r="H14" s="10">
        <f>IFERROR(__xludf.DUMMYFUNCTION("LET(
  data,IMPORTRANGE(""https://docs.google.com/spreadsheets/d/1HbinahSenEkUn_jAbl5SsmjID2R6hW9RxIcyq5pfdEw"",""clean_data!S2:T""),
  COUNTIFS(INDEX(data,0,1),B14,INDEX(data,0,2),""Kategori II"")
)"),14.0)</f>
        <v>14</v>
      </c>
      <c r="I14" s="10">
        <f>IFERROR(__xludf.DUMMYFUNCTION("LET(
  data,IMPORTRANGE(""https://docs.google.com/spreadsheets/d/1HbinahSenEkUn_jAbl5SsmjID2R6hW9RxIcyq5pfdEw"",""clean_data!S2:T""),
  COUNTIFS(INDEX(data,0,1),B14,INDEX(data,0,2),""Kategori III"")
)"),31.0)</f>
        <v>31</v>
      </c>
    </row>
    <row r="15" ht="22.5" customHeight="1">
      <c r="A15" s="4">
        <v>14.0</v>
      </c>
      <c r="B15" s="6" t="s">
        <v>125</v>
      </c>
      <c r="C15" s="8">
        <v>430.0</v>
      </c>
      <c r="D15" s="8">
        <v>351.0</v>
      </c>
      <c r="E15" s="10">
        <f t="shared" si="1"/>
        <v>781</v>
      </c>
      <c r="F15" s="10">
        <f>IFERROR(__xludf.DUMMYFUNCTION("LET(
  data,IMPORTRANGE(""https://docs.google.com/spreadsheets/d/1_thWXf4hx8S9vGa0__p04pYap2TSDuiDgV9UgOjxxDE"",""clean_data!J2:J""),
  COUNTIFS(INDEX(data,0,1),B15)
)"),25.0)</f>
        <v>25</v>
      </c>
      <c r="G15" s="10">
        <f>IFERROR(__xludf.DUMMYFUNCTION("LET(
  data,IMPORTRANGE(""https://docs.google.com/spreadsheets/d/1HbinahSenEkUn_jAbl5SsmjID2R6hW9RxIcyq5pfdEw"",""clean_data!S2:T""),
  COUNTIFS(INDEX(data,0,1),B15,INDEX(data,0,2),""Kategori I"")
)"),0.0)</f>
        <v>0</v>
      </c>
      <c r="H15" s="10">
        <f>IFERROR(__xludf.DUMMYFUNCTION("LET(
  data,IMPORTRANGE(""https://docs.google.com/spreadsheets/d/1HbinahSenEkUn_jAbl5SsmjID2R6hW9RxIcyq5pfdEw"",""clean_data!S2:T""),
  COUNTIFS(INDEX(data,0,1),B15,INDEX(data,0,2),""Kategori II"")
)"),4.0)</f>
        <v>4</v>
      </c>
      <c r="I15" s="10">
        <f>IFERROR(__xludf.DUMMYFUNCTION("LET(
  data,IMPORTRANGE(""https://docs.google.com/spreadsheets/d/1HbinahSenEkUn_jAbl5SsmjID2R6hW9RxIcyq5pfdEw"",""clean_data!S2:T""),
  COUNTIFS(INDEX(data,0,1),B15,INDEX(data,0,2),""Kategori III"")
)"),6.0)</f>
        <v>6</v>
      </c>
    </row>
    <row r="16" ht="22.5" customHeight="1">
      <c r="A16" s="4">
        <v>15.0</v>
      </c>
      <c r="B16" s="6" t="s">
        <v>147</v>
      </c>
      <c r="C16" s="8">
        <v>236.0</v>
      </c>
      <c r="D16" s="8">
        <v>157.0</v>
      </c>
      <c r="E16" s="10">
        <f t="shared" si="1"/>
        <v>393</v>
      </c>
      <c r="F16" s="10">
        <f>IFERROR(__xludf.DUMMYFUNCTION("LET(
  data,IMPORTRANGE(""https://docs.google.com/spreadsheets/d/1_thWXf4hx8S9vGa0__p04pYap2TSDuiDgV9UgOjxxDE"",""clean_data!J2:J""),
  COUNTIFS(INDEX(data,0,1),B16)
)"),11.0)</f>
        <v>11</v>
      </c>
      <c r="G16" s="10">
        <f>IFERROR(__xludf.DUMMYFUNCTION("LET(
  data,IMPORTRANGE(""https://docs.google.com/spreadsheets/d/1HbinahSenEkUn_jAbl5SsmjID2R6hW9RxIcyq5pfdEw"",""clean_data!S2:T""),
  COUNTIFS(INDEX(data,0,1),B16,INDEX(data,0,2),""Kategori I"")
)"),4.0)</f>
        <v>4</v>
      </c>
      <c r="H16" s="10">
        <f>IFERROR(__xludf.DUMMYFUNCTION("LET(
  data,IMPORTRANGE(""https://docs.google.com/spreadsheets/d/1HbinahSenEkUn_jAbl5SsmjID2R6hW9RxIcyq5pfdEw"",""clean_data!S2:T""),
  COUNTIFS(INDEX(data,0,1),B16,INDEX(data,0,2),""Kategori II"")
)"),9.0)</f>
        <v>9</v>
      </c>
      <c r="I16" s="10">
        <f>IFERROR(__xludf.DUMMYFUNCTION("LET(
  data,IMPORTRANGE(""https://docs.google.com/spreadsheets/d/1HbinahSenEkUn_jAbl5SsmjID2R6hW9RxIcyq5pfdEw"",""clean_data!S2:T""),
  COUNTIFS(INDEX(data,0,1),B16,INDEX(data,0,2),""Kategori III"")
)"),11.0)</f>
        <v>11</v>
      </c>
    </row>
    <row r="17" ht="22.5" customHeight="1">
      <c r="A17" s="4">
        <v>16.0</v>
      </c>
      <c r="B17" s="6" t="s">
        <v>167</v>
      </c>
      <c r="C17" s="8">
        <v>542.0</v>
      </c>
      <c r="D17" s="8">
        <v>463.0</v>
      </c>
      <c r="E17" s="10">
        <f t="shared" si="1"/>
        <v>1005</v>
      </c>
      <c r="F17" s="10">
        <f>IFERROR(__xludf.DUMMYFUNCTION("LET(
  data,IMPORTRANGE(""https://docs.google.com/spreadsheets/d/1_thWXf4hx8S9vGa0__p04pYap2TSDuiDgV9UgOjxxDE"",""clean_data!J2:J""),
  COUNTIFS(INDEX(data,0,1),B17)
)"),54.0)</f>
        <v>54</v>
      </c>
      <c r="G17" s="10">
        <f>IFERROR(__xludf.DUMMYFUNCTION("LET(
  data,IMPORTRANGE(""https://docs.google.com/spreadsheets/d/1HbinahSenEkUn_jAbl5SsmjID2R6hW9RxIcyq5pfdEw"",""clean_data!S2:T""),
  COUNTIFS(INDEX(data,0,1),B17,INDEX(data,0,2),""Kategori I"")
)"),2.0)</f>
        <v>2</v>
      </c>
      <c r="H17" s="10">
        <f>IFERROR(__xludf.DUMMYFUNCTION("LET(
  data,IMPORTRANGE(""https://docs.google.com/spreadsheets/d/1HbinahSenEkUn_jAbl5SsmjID2R6hW9RxIcyq5pfdEw"",""clean_data!S2:T""),
  COUNTIFS(INDEX(data,0,1),B17,INDEX(data,0,2),""Kategori II"")
)"),1.0)</f>
        <v>1</v>
      </c>
      <c r="I17" s="10">
        <f>IFERROR(__xludf.DUMMYFUNCTION("LET(
  data,IMPORTRANGE(""https://docs.google.com/spreadsheets/d/1HbinahSenEkUn_jAbl5SsmjID2R6hW9RxIcyq5pfdEw"",""clean_data!S2:T""),
  COUNTIFS(INDEX(data,0,1),B17,INDEX(data,0,2),""Kategori III"")
)"),3.0)</f>
        <v>3</v>
      </c>
    </row>
    <row r="18" ht="22.5" customHeight="1">
      <c r="A18" s="4">
        <v>17.0</v>
      </c>
      <c r="B18" s="6" t="s">
        <v>194</v>
      </c>
      <c r="C18" s="8">
        <v>280.0</v>
      </c>
      <c r="D18" s="8">
        <v>201.0</v>
      </c>
      <c r="E18" s="10">
        <f t="shared" si="1"/>
        <v>481</v>
      </c>
      <c r="F18" s="10">
        <f>IFERROR(__xludf.DUMMYFUNCTION("LET(
  data,IMPORTRANGE(""https://docs.google.com/spreadsheets/d/1_thWXf4hx8S9vGa0__p04pYap2TSDuiDgV9UgOjxxDE"",""clean_data!J2:J""),
  COUNTIFS(INDEX(data,0,1),B18)
)"),10.0)</f>
        <v>10</v>
      </c>
      <c r="G18" s="10">
        <f>IFERROR(__xludf.DUMMYFUNCTION("LET(
  data,IMPORTRANGE(""https://docs.google.com/spreadsheets/d/1HbinahSenEkUn_jAbl5SsmjID2R6hW9RxIcyq5pfdEw"",""clean_data!S2:T""),
  COUNTIFS(INDEX(data,0,1),B18,INDEX(data,0,2),""Kategori I"")
)"),1.0)</f>
        <v>1</v>
      </c>
      <c r="H18" s="10">
        <f>IFERROR(__xludf.DUMMYFUNCTION("LET(
  data,IMPORTRANGE(""https://docs.google.com/spreadsheets/d/1HbinahSenEkUn_jAbl5SsmjID2R6hW9RxIcyq5pfdEw"",""clean_data!S2:T""),
  COUNTIFS(INDEX(data,0,1),B18,INDEX(data,0,2),""Kategori II"")
)"),4.0)</f>
        <v>4</v>
      </c>
      <c r="I18" s="10">
        <f>IFERROR(__xludf.DUMMYFUNCTION("LET(
  data,IMPORTRANGE(""https://docs.google.com/spreadsheets/d/1HbinahSenEkUn_jAbl5SsmjID2R6hW9RxIcyq5pfdEw"",""clean_data!S2:T""),
  COUNTIFS(INDEX(data,0,1),B18,INDEX(data,0,2),""Kategori III"")
)"),3.0)</f>
        <v>3</v>
      </c>
    </row>
    <row r="19" ht="22.5" customHeight="1">
      <c r="A19" s="4">
        <v>18.0</v>
      </c>
      <c r="B19" s="6" t="s">
        <v>221</v>
      </c>
      <c r="C19" s="8">
        <v>169.0</v>
      </c>
      <c r="D19" s="8">
        <v>90.0</v>
      </c>
      <c r="E19" s="10">
        <f t="shared" si="1"/>
        <v>259</v>
      </c>
      <c r="F19" s="10">
        <f>IFERROR(__xludf.DUMMYFUNCTION("LET(
  data,IMPORTRANGE(""https://docs.google.com/spreadsheets/d/1_thWXf4hx8S9vGa0__p04pYap2TSDuiDgV9UgOjxxDE"",""clean_data!J2:J""),
  COUNTIFS(INDEX(data,0,1),B19)
)"),6.0)</f>
        <v>6</v>
      </c>
      <c r="G19" s="10">
        <f>IFERROR(__xludf.DUMMYFUNCTION("LET(
  data,IMPORTRANGE(""https://docs.google.com/spreadsheets/d/1HbinahSenEkUn_jAbl5SsmjID2R6hW9RxIcyq5pfdEw"",""clean_data!S2:T""),
  COUNTIFS(INDEX(data,0,1),B19,INDEX(data,0,2),""Kategori I"")
)"),2.0)</f>
        <v>2</v>
      </c>
      <c r="H19" s="10">
        <f>IFERROR(__xludf.DUMMYFUNCTION("LET(
  data,IMPORTRANGE(""https://docs.google.com/spreadsheets/d/1HbinahSenEkUn_jAbl5SsmjID2R6hW9RxIcyq5pfdEw"",""clean_data!S2:T""),
  COUNTIFS(INDEX(data,0,1),B19,INDEX(data,0,2),""Kategori II"")
)"),4.0)</f>
        <v>4</v>
      </c>
      <c r="I19" s="10">
        <f>IFERROR(__xludf.DUMMYFUNCTION("LET(
  data,IMPORTRANGE(""https://docs.google.com/spreadsheets/d/1HbinahSenEkUn_jAbl5SsmjID2R6hW9RxIcyq5pfdEw"",""clean_data!S2:T""),
  COUNTIFS(INDEX(data,0,1),B19,INDEX(data,0,2),""Kategori III"")
)"),3.0)</f>
        <v>3</v>
      </c>
    </row>
    <row r="20" ht="22.5" customHeight="1">
      <c r="A20" s="4">
        <v>19.0</v>
      </c>
      <c r="B20" s="6" t="s">
        <v>239</v>
      </c>
      <c r="C20" s="8">
        <v>191.0</v>
      </c>
      <c r="D20" s="8">
        <v>112.0</v>
      </c>
      <c r="E20" s="10">
        <f t="shared" si="1"/>
        <v>303</v>
      </c>
      <c r="F20" s="10">
        <f>IFERROR(__xludf.DUMMYFUNCTION("LET(
  data,IMPORTRANGE(""https://docs.google.com/spreadsheets/d/1_thWXf4hx8S9vGa0__p04pYap2TSDuiDgV9UgOjxxDE"",""clean_data!J2:J""),
  COUNTIFS(INDEX(data,0,1),B20)
)"),4.0)</f>
        <v>4</v>
      </c>
      <c r="G20" s="10">
        <f>IFERROR(__xludf.DUMMYFUNCTION("LET(
  data,IMPORTRANGE(""https://docs.google.com/spreadsheets/d/1HbinahSenEkUn_jAbl5SsmjID2R6hW9RxIcyq5pfdEw"",""clean_data!S2:T""),
  COUNTIFS(INDEX(data,0,1),B20,INDEX(data,0,2),""Kategori I"")
)"),0.0)</f>
        <v>0</v>
      </c>
      <c r="H20" s="10">
        <f>IFERROR(__xludf.DUMMYFUNCTION("LET(
  data,IMPORTRANGE(""https://docs.google.com/spreadsheets/d/1HbinahSenEkUn_jAbl5SsmjID2R6hW9RxIcyq5pfdEw"",""clean_data!S2:T""),
  COUNTIFS(INDEX(data,0,1),B20,INDEX(data,0,2),""Kategori II"")
)"),0.0)</f>
        <v>0</v>
      </c>
      <c r="I20" s="10">
        <f>IFERROR(__xludf.DUMMYFUNCTION("LET(
  data,IMPORTRANGE(""https://docs.google.com/spreadsheets/d/1HbinahSenEkUn_jAbl5SsmjID2R6hW9RxIcyq5pfdEw"",""clean_data!S2:T""),
  COUNTIFS(INDEX(data,0,1),B20,INDEX(data,0,2),""Kategori III"")
)"),0.0)</f>
        <v>0</v>
      </c>
    </row>
    <row r="21" ht="22.5" customHeight="1">
      <c r="A21" s="4">
        <v>20.0</v>
      </c>
      <c r="B21" s="6" t="s">
        <v>254</v>
      </c>
      <c r="C21" s="8">
        <v>181.0</v>
      </c>
      <c r="D21" s="8">
        <v>102.0</v>
      </c>
      <c r="E21" s="10">
        <f t="shared" si="1"/>
        <v>283</v>
      </c>
      <c r="F21" s="10">
        <f>IFERROR(__xludf.DUMMYFUNCTION("LET(
  data,IMPORTRANGE(""https://docs.google.com/spreadsheets/d/1_thWXf4hx8S9vGa0__p04pYap2TSDuiDgV9UgOjxxDE"",""clean_data!J2:J""),
  COUNTIFS(INDEX(data,0,1),B21)
)"),7.0)</f>
        <v>7</v>
      </c>
      <c r="G21" s="10">
        <f>IFERROR(__xludf.DUMMYFUNCTION("LET(
  data,IMPORTRANGE(""https://docs.google.com/spreadsheets/d/1HbinahSenEkUn_jAbl5SsmjID2R6hW9RxIcyq5pfdEw"",""clean_data!S2:T""),
  COUNTIFS(INDEX(data,0,1),B21,INDEX(data,0,2),""Kategori I"")
)"),4.0)</f>
        <v>4</v>
      </c>
      <c r="H21" s="10">
        <f>IFERROR(__xludf.DUMMYFUNCTION("LET(
  data,IMPORTRANGE(""https://docs.google.com/spreadsheets/d/1HbinahSenEkUn_jAbl5SsmjID2R6hW9RxIcyq5pfdEw"",""clean_data!S2:T""),
  COUNTIFS(INDEX(data,0,1),B21,INDEX(data,0,2),""Kategori II"")
)"),2.0)</f>
        <v>2</v>
      </c>
      <c r="I21" s="10">
        <f>IFERROR(__xludf.DUMMYFUNCTION("LET(
  data,IMPORTRANGE(""https://docs.google.com/spreadsheets/d/1HbinahSenEkUn_jAbl5SsmjID2R6hW9RxIcyq5pfdEw"",""clean_data!S2:T""),
  COUNTIFS(INDEX(data,0,1),B21,INDEX(data,0,2),""Kategori III"")
)"),5.0)</f>
        <v>5</v>
      </c>
    </row>
    <row r="22" ht="22.5" customHeight="1">
      <c r="A22" s="4">
        <v>21.0</v>
      </c>
      <c r="B22" s="6" t="s">
        <v>268</v>
      </c>
      <c r="C22" s="8">
        <v>151.0</v>
      </c>
      <c r="D22" s="8">
        <v>72.0</v>
      </c>
      <c r="E22" s="10">
        <f t="shared" si="1"/>
        <v>223</v>
      </c>
      <c r="F22" s="10">
        <f>IFERROR(__xludf.DUMMYFUNCTION("LET(
  data,IMPORTRANGE(""https://docs.google.com/spreadsheets/d/1_thWXf4hx8S9vGa0__p04pYap2TSDuiDgV9UgOjxxDE"",""clean_data!J2:J""),
  COUNTIFS(INDEX(data,0,1),B22)
)"),3.0)</f>
        <v>3</v>
      </c>
      <c r="G22" s="10">
        <f>IFERROR(__xludf.DUMMYFUNCTION("LET(
  data,IMPORTRANGE(""https://docs.google.com/spreadsheets/d/1HbinahSenEkUn_jAbl5SsmjID2R6hW9RxIcyq5pfdEw"",""clean_data!S2:T""),
  COUNTIFS(INDEX(data,0,1),B22,INDEX(data,0,2),""Kategori I"")
)"),0.0)</f>
        <v>0</v>
      </c>
      <c r="H22" s="10">
        <f>IFERROR(__xludf.DUMMYFUNCTION("LET(
  data,IMPORTRANGE(""https://docs.google.com/spreadsheets/d/1HbinahSenEkUn_jAbl5SsmjID2R6hW9RxIcyq5pfdEw"",""clean_data!S2:T""),
  COUNTIFS(INDEX(data,0,1),B22,INDEX(data,0,2),""Kategori II"")
)"),0.0)</f>
        <v>0</v>
      </c>
      <c r="I22" s="10">
        <f>IFERROR(__xludf.DUMMYFUNCTION("LET(
  data,IMPORTRANGE(""https://docs.google.com/spreadsheets/d/1HbinahSenEkUn_jAbl5SsmjID2R6hW9RxIcyq5pfdEw"",""clean_data!S2:T""),
  COUNTIFS(INDEX(data,0,1),B22,INDEX(data,0,2),""Kategori III"")
)"),0.0)</f>
        <v>0</v>
      </c>
    </row>
    <row r="23" ht="22.5" customHeight="1">
      <c r="A23" s="4">
        <v>22.0</v>
      </c>
      <c r="B23" s="6" t="s">
        <v>282</v>
      </c>
      <c r="C23" s="8">
        <v>274.0</v>
      </c>
      <c r="D23" s="8">
        <v>195.0</v>
      </c>
      <c r="E23" s="10">
        <f t="shared" si="1"/>
        <v>469</v>
      </c>
      <c r="F23" s="10">
        <f>IFERROR(__xludf.DUMMYFUNCTION("LET(
  data,IMPORTRANGE(""https://docs.google.com/spreadsheets/d/1_thWXf4hx8S9vGa0__p04pYap2TSDuiDgV9UgOjxxDE"",""clean_data!J2:J""),
  COUNTIFS(INDEX(data,0,1),B23)
)"),4.0)</f>
        <v>4</v>
      </c>
      <c r="G23" s="10">
        <f>IFERROR(__xludf.DUMMYFUNCTION("LET(
  data,IMPORTRANGE(""https://docs.google.com/spreadsheets/d/1HbinahSenEkUn_jAbl5SsmjID2R6hW9RxIcyq5pfdEw"",""clean_data!S2:T""),
  COUNTIFS(INDEX(data,0,1),B23,INDEX(data,0,2),""Kategori I"")
)"),0.0)</f>
        <v>0</v>
      </c>
      <c r="H23" s="10">
        <f>IFERROR(__xludf.DUMMYFUNCTION("LET(
  data,IMPORTRANGE(""https://docs.google.com/spreadsheets/d/1HbinahSenEkUn_jAbl5SsmjID2R6hW9RxIcyq5pfdEw"",""clean_data!S2:T""),
  COUNTIFS(INDEX(data,0,1),B23,INDEX(data,0,2),""Kategori II"")
)"),0.0)</f>
        <v>0</v>
      </c>
      <c r="I23" s="10">
        <f>IFERROR(__xludf.DUMMYFUNCTION("LET(
  data,IMPORTRANGE(""https://docs.google.com/spreadsheets/d/1HbinahSenEkUn_jAbl5SsmjID2R6hW9RxIcyq5pfdEw"",""clean_data!S2:T""),
  COUNTIFS(INDEX(data,0,1),B23,INDEX(data,0,2),""Kategori III"")
)"),0.0)</f>
        <v>0</v>
      </c>
    </row>
    <row r="24" ht="22.5" customHeight="1">
      <c r="A24" s="4">
        <v>23.0</v>
      </c>
      <c r="B24" s="6" t="s">
        <v>298</v>
      </c>
      <c r="C24" s="8">
        <v>182.0</v>
      </c>
      <c r="D24" s="8">
        <v>103.0</v>
      </c>
      <c r="E24" s="10">
        <f t="shared" si="1"/>
        <v>285</v>
      </c>
      <c r="F24" s="10">
        <f>IFERROR(__xludf.DUMMYFUNCTION("LET(
  data,IMPORTRANGE(""https://docs.google.com/spreadsheets/d/1_thWXf4hx8S9vGa0__p04pYap2TSDuiDgV9UgOjxxDE"",""clean_data!J2:J""),
  COUNTIFS(INDEX(data,0,1),B24)
)"),19.0)</f>
        <v>19</v>
      </c>
      <c r="G24" s="10">
        <f>IFERROR(__xludf.DUMMYFUNCTION("LET(
  data,IMPORTRANGE(""https://docs.google.com/spreadsheets/d/1HbinahSenEkUn_jAbl5SsmjID2R6hW9RxIcyq5pfdEw"",""clean_data!S2:T""),
  COUNTIFS(INDEX(data,0,1),B24,INDEX(data,0,2),""Kategori I"")
)"),0.0)</f>
        <v>0</v>
      </c>
      <c r="H24" s="10">
        <f>IFERROR(__xludf.DUMMYFUNCTION("LET(
  data,IMPORTRANGE(""https://docs.google.com/spreadsheets/d/1HbinahSenEkUn_jAbl5SsmjID2R6hW9RxIcyq5pfdEw"",""clean_data!S2:T""),
  COUNTIFS(INDEX(data,0,1),B24,INDEX(data,0,2),""Kategori II"")
)"),0.0)</f>
        <v>0</v>
      </c>
      <c r="I24" s="10">
        <f>IFERROR(__xludf.DUMMYFUNCTION("LET(
  data,IMPORTRANGE(""https://docs.google.com/spreadsheets/d/1HbinahSenEkUn_jAbl5SsmjID2R6hW9RxIcyq5pfdEw"",""clean_data!S2:T""),
  COUNTIFS(INDEX(data,0,1),B24,INDEX(data,0,2),""Kategori III"")
)"),0.0)</f>
        <v>0</v>
      </c>
    </row>
    <row r="25" ht="22.5" customHeight="1">
      <c r="A25" s="4">
        <v>24.0</v>
      </c>
      <c r="B25" s="6" t="s">
        <v>306</v>
      </c>
      <c r="C25" s="8">
        <v>176.0</v>
      </c>
      <c r="D25" s="8">
        <v>97.0</v>
      </c>
      <c r="E25" s="10">
        <f t="shared" si="1"/>
        <v>273</v>
      </c>
      <c r="F25" s="10">
        <f>IFERROR(__xludf.DUMMYFUNCTION("LET(
  data,IMPORTRANGE(""https://docs.google.com/spreadsheets/d/1_thWXf4hx8S9vGa0__p04pYap2TSDuiDgV9UgOjxxDE"",""clean_data!J2:J""),
  COUNTIFS(INDEX(data,0,1),B25)
)"),1.0)</f>
        <v>1</v>
      </c>
      <c r="G25" s="10">
        <f>IFERROR(__xludf.DUMMYFUNCTION("LET(
  data,IMPORTRANGE(""https://docs.google.com/spreadsheets/d/1HbinahSenEkUn_jAbl5SsmjID2R6hW9RxIcyq5pfdEw"",""clean_data!S2:T""),
  COUNTIFS(INDEX(data,0,1),B25,INDEX(data,0,2),""Kategori I"")
)"),0.0)</f>
        <v>0</v>
      </c>
      <c r="H25" s="10">
        <f>IFERROR(__xludf.DUMMYFUNCTION("LET(
  data,IMPORTRANGE(""https://docs.google.com/spreadsheets/d/1HbinahSenEkUn_jAbl5SsmjID2R6hW9RxIcyq5pfdEw"",""clean_data!S2:T""),
  COUNTIFS(INDEX(data,0,1),B25,INDEX(data,0,2),""Kategori II"")
)"),0.0)</f>
        <v>0</v>
      </c>
      <c r="I25" s="10">
        <f>IFERROR(__xludf.DUMMYFUNCTION("LET(
  data,IMPORTRANGE(""https://docs.google.com/spreadsheets/d/1HbinahSenEkUn_jAbl5SsmjID2R6hW9RxIcyq5pfdEw"",""clean_data!S2:T""),
  COUNTIFS(INDEX(data,0,1),B25,INDEX(data,0,2),""Kategori III"")
)"),0.0)</f>
        <v>0</v>
      </c>
    </row>
    <row r="26" ht="22.5" customHeight="1">
      <c r="A26" s="4">
        <v>25.0</v>
      </c>
      <c r="B26" s="6" t="s">
        <v>312</v>
      </c>
      <c r="C26" s="8">
        <v>168.0</v>
      </c>
      <c r="D26" s="8">
        <v>89.0</v>
      </c>
      <c r="E26" s="10">
        <f t="shared" si="1"/>
        <v>257</v>
      </c>
      <c r="F26" s="10">
        <f>IFERROR(__xludf.DUMMYFUNCTION("LET(
  data,IMPORTRANGE(""https://docs.google.com/spreadsheets/d/1_thWXf4hx8S9vGa0__p04pYap2TSDuiDgV9UgOjxxDE"",""clean_data!J2:J""),
  COUNTIFS(INDEX(data,0,1),B26)
)"),10.0)</f>
        <v>10</v>
      </c>
      <c r="G26" s="10">
        <f>IFERROR(__xludf.DUMMYFUNCTION("LET(
  data,IMPORTRANGE(""https://docs.google.com/spreadsheets/d/1HbinahSenEkUn_jAbl5SsmjID2R6hW9RxIcyq5pfdEw"",""clean_data!S2:T""),
  COUNTIFS(INDEX(data,0,1),B26,INDEX(data,0,2),""Kategori I"")
)"),2.0)</f>
        <v>2</v>
      </c>
      <c r="H26" s="10">
        <f>IFERROR(__xludf.DUMMYFUNCTION("LET(
  data,IMPORTRANGE(""https://docs.google.com/spreadsheets/d/1HbinahSenEkUn_jAbl5SsmjID2R6hW9RxIcyq5pfdEw"",""clean_data!S2:T""),
  COUNTIFS(INDEX(data,0,1),B26,INDEX(data,0,2),""Kategori II"")
)"),18.0)</f>
        <v>18</v>
      </c>
      <c r="I26" s="10">
        <f>IFERROR(__xludf.DUMMYFUNCTION("LET(
  data,IMPORTRANGE(""https://docs.google.com/spreadsheets/d/1HbinahSenEkUn_jAbl5SsmjID2R6hW9RxIcyq5pfdEw"",""clean_data!S2:T""),
  COUNTIFS(INDEX(data,0,1),B26,INDEX(data,0,2),""Kategori III"")
)"),15.0)</f>
        <v>15</v>
      </c>
    </row>
    <row r="27" ht="22.5" customHeight="1">
      <c r="A27" s="4">
        <v>26.0</v>
      </c>
      <c r="B27" s="6" t="s">
        <v>332</v>
      </c>
      <c r="C27" s="8">
        <v>277.0</v>
      </c>
      <c r="D27" s="8">
        <v>198.0</v>
      </c>
      <c r="E27" s="10">
        <f t="shared" si="1"/>
        <v>475</v>
      </c>
      <c r="F27" s="10">
        <f>IFERROR(__xludf.DUMMYFUNCTION("LET(
  data,IMPORTRANGE(""https://docs.google.com/spreadsheets/d/1_thWXf4hx8S9vGa0__p04pYap2TSDuiDgV9UgOjxxDE"",""clean_data!J2:J""),
  COUNTIFS(INDEX(data,0,1),B27)
)"),3.0)</f>
        <v>3</v>
      </c>
      <c r="G27" s="10">
        <f>IFERROR(__xludf.DUMMYFUNCTION("LET(
  data,IMPORTRANGE(""https://docs.google.com/spreadsheets/d/1HbinahSenEkUn_jAbl5SsmjID2R6hW9RxIcyq5pfdEw"",""clean_data!S2:T""),
  COUNTIFS(INDEX(data,0,1),B27,INDEX(data,0,2),""Kategori I"")
)"),0.0)</f>
        <v>0</v>
      </c>
      <c r="H27" s="10">
        <f>IFERROR(__xludf.DUMMYFUNCTION("LET(
  data,IMPORTRANGE(""https://docs.google.com/spreadsheets/d/1HbinahSenEkUn_jAbl5SsmjID2R6hW9RxIcyq5pfdEw"",""clean_data!S2:T""),
  COUNTIFS(INDEX(data,0,1),B27,INDEX(data,0,2),""Kategori II"")
)"),0.0)</f>
        <v>0</v>
      </c>
      <c r="I27" s="10">
        <f>IFERROR(__xludf.DUMMYFUNCTION("LET(
  data,IMPORTRANGE(""https://docs.google.com/spreadsheets/d/1HbinahSenEkUn_jAbl5SsmjID2R6hW9RxIcyq5pfdEw"",""clean_data!S2:T""),
  COUNTIFS(INDEX(data,0,1),B27,INDEX(data,0,2),""Kategori III"")
)"),0.0)</f>
        <v>0</v>
      </c>
    </row>
    <row r="28" ht="22.5" customHeight="1">
      <c r="A28" s="4">
        <v>27.0</v>
      </c>
      <c r="B28" s="6" t="s">
        <v>347</v>
      </c>
      <c r="C28" s="8">
        <v>253.0</v>
      </c>
      <c r="D28" s="8">
        <v>174.0</v>
      </c>
      <c r="E28" s="10">
        <f t="shared" si="1"/>
        <v>427</v>
      </c>
      <c r="F28" s="10">
        <f>IFERROR(__xludf.DUMMYFUNCTION("LET(
  data,IMPORTRANGE(""https://docs.google.com/spreadsheets/d/1_thWXf4hx8S9vGa0__p04pYap2TSDuiDgV9UgOjxxDE"",""clean_data!J2:J""),
  COUNTIFS(INDEX(data,0,1),B28)
)"),7.0)</f>
        <v>7</v>
      </c>
      <c r="G28" s="10">
        <f>IFERROR(__xludf.DUMMYFUNCTION("LET(
  data,IMPORTRANGE(""https://docs.google.com/spreadsheets/d/1HbinahSenEkUn_jAbl5SsmjID2R6hW9RxIcyq5pfdEw"",""clean_data!S2:T""),
  COUNTIFS(INDEX(data,0,1),B28,INDEX(data,0,2),""Kategori I"")
)"),0.0)</f>
        <v>0</v>
      </c>
      <c r="H28" s="10">
        <f>IFERROR(__xludf.DUMMYFUNCTION("LET(
  data,IMPORTRANGE(""https://docs.google.com/spreadsheets/d/1HbinahSenEkUn_jAbl5SsmjID2R6hW9RxIcyq5pfdEw"",""clean_data!S2:T""),
  COUNTIFS(INDEX(data,0,1),B28,INDEX(data,0,2),""Kategori II"")
)"),0.0)</f>
        <v>0</v>
      </c>
      <c r="I28" s="10">
        <f>IFERROR(__xludf.DUMMYFUNCTION("LET(
  data,IMPORTRANGE(""https://docs.google.com/spreadsheets/d/1HbinahSenEkUn_jAbl5SsmjID2R6hW9RxIcyq5pfdEw"",""clean_data!S2:T""),
  COUNTIFS(INDEX(data,0,1),B28,INDEX(data,0,2),""Kategori III"")
)"),0.0)</f>
        <v>0</v>
      </c>
    </row>
    <row r="29" ht="22.5" customHeight="1">
      <c r="A29" s="4">
        <v>28.0</v>
      </c>
      <c r="B29" s="6" t="s">
        <v>367</v>
      </c>
      <c r="C29" s="8">
        <v>182.0</v>
      </c>
      <c r="D29" s="8">
        <v>103.0</v>
      </c>
      <c r="E29" s="10">
        <f t="shared" si="1"/>
        <v>285</v>
      </c>
      <c r="F29" s="10">
        <f>IFERROR(__xludf.DUMMYFUNCTION("LET(
  data,IMPORTRANGE(""https://docs.google.com/spreadsheets/d/1_thWXf4hx8S9vGa0__p04pYap2TSDuiDgV9UgOjxxDE"",""clean_data!J2:J""),
  COUNTIFS(INDEX(data,0,1),B29)
)"),12.0)</f>
        <v>12</v>
      </c>
      <c r="G29" s="10">
        <f>IFERROR(__xludf.DUMMYFUNCTION("LET(
  data,IMPORTRANGE(""https://docs.google.com/spreadsheets/d/1HbinahSenEkUn_jAbl5SsmjID2R6hW9RxIcyq5pfdEw"",""clean_data!S2:T""),
  COUNTIFS(INDEX(data,0,1),B29,INDEX(data,0,2),""Kategori I"")
)"),4.0)</f>
        <v>4</v>
      </c>
      <c r="H29" s="10">
        <f>IFERROR(__xludf.DUMMYFUNCTION("LET(
  data,IMPORTRANGE(""https://docs.google.com/spreadsheets/d/1HbinahSenEkUn_jAbl5SsmjID2R6hW9RxIcyq5pfdEw"",""clean_data!S2:T""),
  COUNTIFS(INDEX(data,0,1),B29,INDEX(data,0,2),""Kategori II"")
)"),8.0)</f>
        <v>8</v>
      </c>
      <c r="I29" s="10">
        <f>IFERROR(__xludf.DUMMYFUNCTION("LET(
  data,IMPORTRANGE(""https://docs.google.com/spreadsheets/d/1HbinahSenEkUn_jAbl5SsmjID2R6hW9RxIcyq5pfdEw"",""clean_data!S2:T""),
  COUNTIFS(INDEX(data,0,1),B29,INDEX(data,0,2),""Kategori III"")
)"),13.0)</f>
        <v>13</v>
      </c>
    </row>
    <row r="30" ht="22.5" customHeight="1">
      <c r="A30" s="4">
        <v>29.0</v>
      </c>
      <c r="B30" s="6" t="s">
        <v>389</v>
      </c>
      <c r="C30" s="8">
        <v>173.0</v>
      </c>
      <c r="D30" s="8">
        <v>94.0</v>
      </c>
      <c r="E30" s="10">
        <f t="shared" si="1"/>
        <v>267</v>
      </c>
      <c r="F30" s="10">
        <f>IFERROR(__xludf.DUMMYFUNCTION("LET(
  data,IMPORTRANGE(""https://docs.google.com/spreadsheets/d/1_thWXf4hx8S9vGa0__p04pYap2TSDuiDgV9UgOjxxDE"",""clean_data!J2:J""),
  COUNTIFS(INDEX(data,0,1),B30)
)"),2.0)</f>
        <v>2</v>
      </c>
      <c r="G30" s="10">
        <f>IFERROR(__xludf.DUMMYFUNCTION("LET(
  data,IMPORTRANGE(""https://docs.google.com/spreadsheets/d/1HbinahSenEkUn_jAbl5SsmjID2R6hW9RxIcyq5pfdEw"",""clean_data!S2:T""),
  COUNTIFS(INDEX(data,0,1),B30,INDEX(data,0,2),""Kategori I"")
)"),0.0)</f>
        <v>0</v>
      </c>
      <c r="H30" s="10">
        <f>IFERROR(__xludf.DUMMYFUNCTION("LET(
  data,IMPORTRANGE(""https://docs.google.com/spreadsheets/d/1HbinahSenEkUn_jAbl5SsmjID2R6hW9RxIcyq5pfdEw"",""clean_data!S2:T""),
  COUNTIFS(INDEX(data,0,1),B30,INDEX(data,0,2),""Kategori II"")
)"),0.0)</f>
        <v>0</v>
      </c>
      <c r="I30" s="10">
        <f>IFERROR(__xludf.DUMMYFUNCTION("LET(
  data,IMPORTRANGE(""https://docs.google.com/spreadsheets/d/1HbinahSenEkUn_jAbl5SsmjID2R6hW9RxIcyq5pfdEw"",""clean_data!S2:T""),
  COUNTIFS(INDEX(data,0,1),B30,INDEX(data,0,2),""Kategori III"")
)"),0.0)</f>
        <v>0</v>
      </c>
    </row>
    <row r="31" ht="22.5" customHeight="1">
      <c r="A31" s="4">
        <v>30.0</v>
      </c>
      <c r="B31" s="6" t="s">
        <v>404</v>
      </c>
      <c r="C31" s="8">
        <v>183.0</v>
      </c>
      <c r="D31" s="8">
        <v>104.0</v>
      </c>
      <c r="E31" s="10">
        <f t="shared" si="1"/>
        <v>287</v>
      </c>
      <c r="F31" s="10">
        <f>IFERROR(__xludf.DUMMYFUNCTION("LET(
  data,IMPORTRANGE(""https://docs.google.com/spreadsheets/d/1_thWXf4hx8S9vGa0__p04pYap2TSDuiDgV9UgOjxxDE"",""clean_data!J2:J""),
  COUNTIFS(INDEX(data,0,1),B31)
)"),2.0)</f>
        <v>2</v>
      </c>
      <c r="G31" s="10">
        <f>IFERROR(__xludf.DUMMYFUNCTION("LET(
  data,IMPORTRANGE(""https://docs.google.com/spreadsheets/d/1HbinahSenEkUn_jAbl5SsmjID2R6hW9RxIcyq5pfdEw"",""clean_data!S2:T""),
  COUNTIFS(INDEX(data,0,1),B31,INDEX(data,0,2),""Kategori I"")
)"),0.0)</f>
        <v>0</v>
      </c>
      <c r="H31" s="10">
        <f>IFERROR(__xludf.DUMMYFUNCTION("LET(
  data,IMPORTRANGE(""https://docs.google.com/spreadsheets/d/1HbinahSenEkUn_jAbl5SsmjID2R6hW9RxIcyq5pfdEw"",""clean_data!S2:T""),
  COUNTIFS(INDEX(data,0,1),B31,INDEX(data,0,2),""Kategori II"")
)"),0.0)</f>
        <v>0</v>
      </c>
      <c r="I31" s="10">
        <f>IFERROR(__xludf.DUMMYFUNCTION("LET(
  data,IMPORTRANGE(""https://docs.google.com/spreadsheets/d/1HbinahSenEkUn_jAbl5SsmjID2R6hW9RxIcyq5pfdEw"",""clean_data!S2:T""),
  COUNTIFS(INDEX(data,0,1),B31,INDEX(data,0,2),""Kategori III"")
)"),0.0)</f>
        <v>0</v>
      </c>
    </row>
    <row r="32" ht="22.5" customHeight="1">
      <c r="A32" s="4">
        <v>31.0</v>
      </c>
      <c r="B32" s="6" t="s">
        <v>411</v>
      </c>
      <c r="C32" s="8">
        <v>78.0</v>
      </c>
      <c r="D32" s="17">
        <v>26.0</v>
      </c>
      <c r="E32" s="10">
        <f t="shared" si="1"/>
        <v>104</v>
      </c>
      <c r="F32" s="10">
        <f>IFERROR(__xludf.DUMMYFUNCTION("LET(
  data,IMPORTRANGE(""https://docs.google.com/spreadsheets/d/1_thWXf4hx8S9vGa0__p04pYap2TSDuiDgV9UgOjxxDE"",""clean_data!J2:J""),
  COUNTIFS(INDEX(data,0,1),B32)
)"),6.0)</f>
        <v>6</v>
      </c>
      <c r="G32" s="10">
        <f>IFERROR(__xludf.DUMMYFUNCTION("LET(
  data,IMPORTRANGE(""https://docs.google.com/spreadsheets/d/1HbinahSenEkUn_jAbl5SsmjID2R6hW9RxIcyq5pfdEw"",""clean_data!S2:T""),
  COUNTIFS(INDEX(data,0,1),B32,INDEX(data,0,2),""Kategori I"")
)"),0.0)</f>
        <v>0</v>
      </c>
      <c r="H32" s="10">
        <f>IFERROR(__xludf.DUMMYFUNCTION("LET(
  data,IMPORTRANGE(""https://docs.google.com/spreadsheets/d/1HbinahSenEkUn_jAbl5SsmjID2R6hW9RxIcyq5pfdEw"",""clean_data!S2:T""),
  COUNTIFS(INDEX(data,0,1),B32,INDEX(data,0,2),""Kategori II"")
)"),0.0)</f>
        <v>0</v>
      </c>
      <c r="I32" s="10">
        <f>IFERROR(__xludf.DUMMYFUNCTION("LET(
  data,IMPORTRANGE(""https://docs.google.com/spreadsheets/d/1HbinahSenEkUn_jAbl5SsmjID2R6hW9RxIcyq5pfdEw"",""clean_data!S2:T""),
  COUNTIFS(INDEX(data,0,1),B32,INDEX(data,0,2),""Kategori III"")
)"),0.0)</f>
        <v>0</v>
      </c>
    </row>
    <row r="33" ht="22.5" customHeight="1">
      <c r="A33" s="4">
        <v>32.0</v>
      </c>
      <c r="B33" s="6" t="s">
        <v>422</v>
      </c>
      <c r="C33" s="8">
        <v>108.0</v>
      </c>
      <c r="D33" s="8">
        <v>29.0</v>
      </c>
      <c r="E33" s="10">
        <f t="shared" si="1"/>
        <v>137</v>
      </c>
      <c r="F33" s="10">
        <f>IFERROR(__xludf.DUMMYFUNCTION("LET(
  data,IMPORTRANGE(""https://docs.google.com/spreadsheets/d/1_thWXf4hx8S9vGa0__p04pYap2TSDuiDgV9UgOjxxDE"",""clean_data!J2:J""),
  COUNTIFS(INDEX(data,0,1),B33)
)"),3.0)</f>
        <v>3</v>
      </c>
      <c r="G33" s="10">
        <f>IFERROR(__xludf.DUMMYFUNCTION("LET(
  data,IMPORTRANGE(""https://docs.google.com/spreadsheets/d/1HbinahSenEkUn_jAbl5SsmjID2R6hW9RxIcyq5pfdEw"",""clean_data!S2:T""),
  COUNTIFS(INDEX(data,0,1),B33,INDEX(data,0,2),""Kategori I"")
)"),0.0)</f>
        <v>0</v>
      </c>
      <c r="H33" s="10">
        <f>IFERROR(__xludf.DUMMYFUNCTION("LET(
  data,IMPORTRANGE(""https://docs.google.com/spreadsheets/d/1HbinahSenEkUn_jAbl5SsmjID2R6hW9RxIcyq5pfdEw"",""clean_data!S2:T""),
  COUNTIFS(INDEX(data,0,1),B33,INDEX(data,0,2),""Kategori II"")
)"),0.0)</f>
        <v>0</v>
      </c>
      <c r="I33" s="10">
        <f>IFERROR(__xludf.DUMMYFUNCTION("LET(
  data,IMPORTRANGE(""https://docs.google.com/spreadsheets/d/1HbinahSenEkUn_jAbl5SsmjID2R6hW9RxIcyq5pfdEw"",""clean_data!S2:T""),
  COUNTIFS(INDEX(data,0,1),B33,INDEX(data,0,2),""Kategori III"")
)"),0.0)</f>
        <v>0</v>
      </c>
    </row>
    <row r="34" ht="22.5" customHeight="1">
      <c r="A34" s="4">
        <v>33.0</v>
      </c>
      <c r="B34" s="6" t="s">
        <v>428</v>
      </c>
      <c r="C34" s="8">
        <v>103.0</v>
      </c>
      <c r="D34" s="8">
        <v>24.0</v>
      </c>
      <c r="E34" s="10">
        <f t="shared" si="1"/>
        <v>127</v>
      </c>
      <c r="F34" s="10">
        <f>IFERROR(__xludf.DUMMYFUNCTION("LET(
  data,IMPORTRANGE(""https://docs.google.com/spreadsheets/d/1_thWXf4hx8S9vGa0__p04pYap2TSDuiDgV9UgOjxxDE"",""clean_data!J2:J""),
  COUNTIFS(INDEX(data,0,1),B34)
)"),2.0)</f>
        <v>2</v>
      </c>
      <c r="G34" s="10">
        <f>IFERROR(__xludf.DUMMYFUNCTION("LET(
  data,IMPORTRANGE(""https://docs.google.com/spreadsheets/d/1HbinahSenEkUn_jAbl5SsmjID2R6hW9RxIcyq5pfdEw"",""clean_data!S2:T""),
  COUNTIFS(INDEX(data,0,1),B34,INDEX(data,0,2),""Kategori I"")
)"),0.0)</f>
        <v>0</v>
      </c>
      <c r="H34" s="10">
        <f>IFERROR(__xludf.DUMMYFUNCTION("LET(
  data,IMPORTRANGE(""https://docs.google.com/spreadsheets/d/1HbinahSenEkUn_jAbl5SsmjID2R6hW9RxIcyq5pfdEw"",""clean_data!S2:T""),
  COUNTIFS(INDEX(data,0,1),B34,INDEX(data,0,2),""Kategori II"")
)"),0.0)</f>
        <v>0</v>
      </c>
      <c r="I34" s="10">
        <f>IFERROR(__xludf.DUMMYFUNCTION("LET(
  data,IMPORTRANGE(""https://docs.google.com/spreadsheets/d/1HbinahSenEkUn_jAbl5SsmjID2R6hW9RxIcyq5pfdEw"",""clean_data!S2:T""),
  COUNTIFS(INDEX(data,0,1),B34,INDEX(data,0,2),""Kategori III"")
)"),0.0)</f>
        <v>0</v>
      </c>
    </row>
    <row r="35" ht="22.5" customHeight="1">
      <c r="A35" s="4">
        <v>34.0</v>
      </c>
      <c r="B35" s="6" t="s">
        <v>441</v>
      </c>
      <c r="C35" s="8">
        <v>80.0</v>
      </c>
      <c r="D35" s="17">
        <v>24.0</v>
      </c>
      <c r="E35" s="10">
        <f t="shared" si="1"/>
        <v>104</v>
      </c>
      <c r="F35" s="10">
        <f>IFERROR(__xludf.DUMMYFUNCTION("LET(
  data,IMPORTRANGE(""https://docs.google.com/spreadsheets/d/1_thWXf4hx8S9vGa0__p04pYap2TSDuiDgV9UgOjxxDE"",""clean_data!J2:J""),
  COUNTIFS(INDEX(data,0,1),B35)
)"),2.0)</f>
        <v>2</v>
      </c>
      <c r="G35" s="10">
        <f>IFERROR(__xludf.DUMMYFUNCTION("LET(
  data,IMPORTRANGE(""https://docs.google.com/spreadsheets/d/1HbinahSenEkUn_jAbl5SsmjID2R6hW9RxIcyq5pfdEw"",""clean_data!S2:T""),
  COUNTIFS(INDEX(data,0,1),B35,INDEX(data,0,2),""Kategori I"")
)"),0.0)</f>
        <v>0</v>
      </c>
      <c r="H35" s="10">
        <f>IFERROR(__xludf.DUMMYFUNCTION("LET(
  data,IMPORTRANGE(""https://docs.google.com/spreadsheets/d/1HbinahSenEkUn_jAbl5SsmjID2R6hW9RxIcyq5pfdEw"",""clean_data!S2:T""),
  COUNTIFS(INDEX(data,0,1),B35,INDEX(data,0,2),""Kategori II"")
)"),0.0)</f>
        <v>0</v>
      </c>
      <c r="I35" s="10">
        <f>IFERROR(__xludf.DUMMYFUNCTION("LET(
  data,IMPORTRANGE(""https://docs.google.com/spreadsheets/d/1HbinahSenEkUn_jAbl5SsmjID2R6hW9RxIcyq5pfdEw"",""clean_data!S2:T""),
  COUNTIFS(INDEX(data,0,1),B35,INDEX(data,0,2),""Kategori III"")
)"),0.0)</f>
        <v>0</v>
      </c>
    </row>
    <row r="36" ht="22.5" customHeight="1">
      <c r="A36" s="4">
        <v>35.0</v>
      </c>
      <c r="B36" s="6" t="s">
        <v>444</v>
      </c>
      <c r="C36" s="8">
        <v>115.0</v>
      </c>
      <c r="D36" s="8">
        <v>36.0</v>
      </c>
      <c r="E36" s="10">
        <f t="shared" si="1"/>
        <v>151</v>
      </c>
      <c r="F36" s="10">
        <f>IFERROR(__xludf.DUMMYFUNCTION("LET(
  data,IMPORTRANGE(""https://docs.google.com/spreadsheets/d/1_thWXf4hx8S9vGa0__p04pYap2TSDuiDgV9UgOjxxDE"",""clean_data!J2:J""),
  COUNTIFS(INDEX(data,0,1),B36)
)"),0.0)</f>
        <v>0</v>
      </c>
      <c r="G36" s="10">
        <f>IFERROR(__xludf.DUMMYFUNCTION("LET(
  data,IMPORTRANGE(""https://docs.google.com/spreadsheets/d/1HbinahSenEkUn_jAbl5SsmjID2R6hW9RxIcyq5pfdEw"",""clean_data!S2:T""),
  COUNTIFS(INDEX(data,0,1),B36,INDEX(data,0,2),""Kategori I"")
)"),0.0)</f>
        <v>0</v>
      </c>
      <c r="H36" s="10">
        <f>IFERROR(__xludf.DUMMYFUNCTION("LET(
  data,IMPORTRANGE(""https://docs.google.com/spreadsheets/d/1HbinahSenEkUn_jAbl5SsmjID2R6hW9RxIcyq5pfdEw"",""clean_data!S2:T""),
  COUNTIFS(INDEX(data,0,1),B36,INDEX(data,0,2),""Kategori II"")
)"),0.0)</f>
        <v>0</v>
      </c>
      <c r="I36" s="10">
        <f>IFERROR(__xludf.DUMMYFUNCTION("LET(
  data,IMPORTRANGE(""https://docs.google.com/spreadsheets/d/1HbinahSenEkUn_jAbl5SsmjID2R6hW9RxIcyq5pfdEw"",""clean_data!S2:T""),
  COUNTIFS(INDEX(data,0,1),B36,INDEX(data,0,2),""Kategori III"")
)"),0.0)</f>
        <v>0</v>
      </c>
    </row>
    <row r="37" ht="22.5" customHeight="1">
      <c r="A37" s="4">
        <v>36.0</v>
      </c>
      <c r="B37" s="6" t="s">
        <v>449</v>
      </c>
      <c r="C37" s="8">
        <v>90.0</v>
      </c>
      <c r="D37" s="8">
        <v>11.0</v>
      </c>
      <c r="E37" s="10">
        <f t="shared" si="1"/>
        <v>101</v>
      </c>
      <c r="F37" s="10">
        <f>IFERROR(__xludf.DUMMYFUNCTION("LET(
  data,IMPORTRANGE(""https://docs.google.com/spreadsheets/d/1_thWXf4hx8S9vGa0__p04pYap2TSDuiDgV9UgOjxxDE"",""clean_data!J2:J""),
  COUNTIFS(INDEX(data,0,1),B37)
)"),1.0)</f>
        <v>1</v>
      </c>
      <c r="G37" s="10">
        <f>IFERROR(__xludf.DUMMYFUNCTION("LET(
  data,IMPORTRANGE(""https://docs.google.com/spreadsheets/d/1HbinahSenEkUn_jAbl5SsmjID2R6hW9RxIcyq5pfdEw"",""clean_data!S2:T""),
  COUNTIFS(INDEX(data,0,1),B37,INDEX(data,0,2),""Kategori I"")
)"),0.0)</f>
        <v>0</v>
      </c>
      <c r="H37" s="10">
        <f>IFERROR(__xludf.DUMMYFUNCTION("LET(
  data,IMPORTRANGE(""https://docs.google.com/spreadsheets/d/1HbinahSenEkUn_jAbl5SsmjID2R6hW9RxIcyq5pfdEw"",""clean_data!S2:T""),
  COUNTIFS(INDEX(data,0,1),B37,INDEX(data,0,2),""Kategori II"")
)"),0.0)</f>
        <v>0</v>
      </c>
      <c r="I37" s="10">
        <f>IFERROR(__xludf.DUMMYFUNCTION("LET(
  data,IMPORTRANGE(""https://docs.google.com/spreadsheets/d/1HbinahSenEkUn_jAbl5SsmjID2R6hW9RxIcyq5pfdEw"",""clean_data!S2:T""),
  COUNTIFS(INDEX(data,0,1),B37,INDEX(data,0,2),""Kategori III"")
)"),0.0)</f>
        <v>0</v>
      </c>
    </row>
    <row r="38" ht="22.5" customHeight="1">
      <c r="A38" s="4">
        <v>37.0</v>
      </c>
      <c r="B38" s="6" t="s">
        <v>464</v>
      </c>
      <c r="C38" s="8">
        <v>149.0</v>
      </c>
      <c r="D38" s="8">
        <v>70.0</v>
      </c>
      <c r="E38" s="10">
        <f t="shared" si="1"/>
        <v>219</v>
      </c>
      <c r="F38" s="10">
        <f>IFERROR(__xludf.DUMMYFUNCTION("LET(
  data,IMPORTRANGE(""https://docs.google.com/spreadsheets/d/1_thWXf4hx8S9vGa0__p04pYap2TSDuiDgV9UgOjxxDE"",""clean_data!J2:J""),
  COUNTIFS(INDEX(data,0,1),B38)
)"),0.0)</f>
        <v>0</v>
      </c>
      <c r="G38" s="10">
        <f>IFERROR(__xludf.DUMMYFUNCTION("LET(
  data,IMPORTRANGE(""https://docs.google.com/spreadsheets/d/1HbinahSenEkUn_jAbl5SsmjID2R6hW9RxIcyq5pfdEw"",""clean_data!S2:T""),
  COUNTIFS(INDEX(data,0,1),B38,INDEX(data,0,2),""Kategori I"")
)"),0.0)</f>
        <v>0</v>
      </c>
      <c r="H38" s="10">
        <f>IFERROR(__xludf.DUMMYFUNCTION("LET(
  data,IMPORTRANGE(""https://docs.google.com/spreadsheets/d/1HbinahSenEkUn_jAbl5SsmjID2R6hW9RxIcyq5pfdEw"",""clean_data!S2:T""),
  COUNTIFS(INDEX(data,0,1),B38,INDEX(data,0,2),""Kategori II"")
)"),0.0)</f>
        <v>0</v>
      </c>
      <c r="I38" s="10">
        <f>IFERROR(__xludf.DUMMYFUNCTION("LET(
  data,IMPORTRANGE(""https://docs.google.com/spreadsheets/d/1HbinahSenEkUn_jAbl5SsmjID2R6hW9RxIcyq5pfdEw"",""clean_data!S2:T""),
  COUNTIFS(INDEX(data,0,1),B38,INDEX(data,0,2),""Kategori III"")
)"),0.0)</f>
        <v>0</v>
      </c>
    </row>
    <row r="39" ht="22.5" customHeight="1">
      <c r="A39" s="4">
        <v>38.0</v>
      </c>
      <c r="B39" s="6" t="s">
        <v>475</v>
      </c>
      <c r="C39" s="8">
        <v>148.0</v>
      </c>
      <c r="D39" s="8">
        <v>69.0</v>
      </c>
      <c r="E39" s="10">
        <f t="shared" si="1"/>
        <v>217</v>
      </c>
      <c r="F39" s="10">
        <f>IFERROR(__xludf.DUMMYFUNCTION("LET(
  data,IMPORTRANGE(""https://docs.google.com/spreadsheets/d/1_thWXf4hx8S9vGa0__p04pYap2TSDuiDgV9UgOjxxDE"",""clean_data!J2:J""),
  COUNTIFS(INDEX(data,0,1),B39)
)"),0.0)</f>
        <v>0</v>
      </c>
      <c r="G39" s="10">
        <f>IFERROR(__xludf.DUMMYFUNCTION("LET(
  data,IMPORTRANGE(""https://docs.google.com/spreadsheets/d/1HbinahSenEkUn_jAbl5SsmjID2R6hW9RxIcyq5pfdEw"",""clean_data!S2:T""),
  COUNTIFS(INDEX(data,0,1),B39,INDEX(data,0,2),""Kategori I"")
)"),0.0)</f>
        <v>0</v>
      </c>
      <c r="H39" s="10">
        <f>IFERROR(__xludf.DUMMYFUNCTION("LET(
  data,IMPORTRANGE(""https://docs.google.com/spreadsheets/d/1HbinahSenEkUn_jAbl5SsmjID2R6hW9RxIcyq5pfdEw"",""clean_data!S2:T""),
  COUNTIFS(INDEX(data,0,1),B39,INDEX(data,0,2),""Kategori II"")
)"),0.0)</f>
        <v>0</v>
      </c>
      <c r="I39" s="10">
        <f>IFERROR(__xludf.DUMMYFUNCTION("LET(
  data,IMPORTRANGE(""https://docs.google.com/spreadsheets/d/1HbinahSenEkUn_jAbl5SsmjID2R6hW9RxIcyq5pfdEw"",""clean_data!S2:T""),
  COUNTIFS(INDEX(data,0,1),B39,INDEX(data,0,2),""Kategori III"")
)"),0.0)</f>
        <v>0</v>
      </c>
    </row>
  </sheetData>
  <drawing r:id="rId1"/>
  <tableParts count="1">
    <tablePart r:id="rId3"/>
  </tableParts>
</worksheet>
</file>